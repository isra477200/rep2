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7ccfdbc90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c6e50fdb71c04ec8"/>
    <x:sheet xmlns:r="http://schemas.openxmlformats.org/officeDocument/2006/relationships" name="Prospectos" sheetId="2" r:id="Rcbb5c85782ce481f"/>
    <x:sheet xmlns:r="http://schemas.openxmlformats.org/officeDocument/2006/relationships" name="Pipeline" sheetId="3" r:id="R8d0add4ce7c24d01"/>
    <x:sheet xmlns:r="http://schemas.openxmlformats.org/officeDocument/2006/relationships" name="Actividad diaria" sheetId="4" r:id="Raee472e59a8b4be4"/>
    <x:sheet xmlns:r="http://schemas.openxmlformats.org/officeDocument/2006/relationships" name="Cadencia" sheetId="5" r:id="R1722fe5d57374828"/>
    <x:sheet xmlns:r="http://schemas.openxmlformats.org/officeDocument/2006/relationships" name="Dashboard" sheetId="6" r:id="R1111f11010fd4ac8"/>
    <x:sheet xmlns:r="http://schemas.openxmlformats.org/officeDocument/2006/relationships" name="Scorecard caller" sheetId="7" r:id="R10dcceb48a084578"/>
    <x:sheet xmlns:r="http://schemas.openxmlformats.org/officeDocument/2006/relationships" name="Scorecard closer" sheetId="8" r:id="R8b879b3d07f04f46"/>
    <x:sheet xmlns:r="http://schemas.openxmlformats.org/officeDocument/2006/relationships" name="Diccionario CRM" sheetId="9" r:id="Re6560862cdb0410e"/>
    <x:sheet xmlns:r="http://schemas.openxmlformats.org/officeDocument/2006/relationships" name="Verticales ICP" sheetId="10" r:id="R37e8451c44c34c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€#,##0"/>
    <x:numFmt numFmtId="202" formatCode="0%"/>
    <x:numFmt numFmtId="203" formatCode="#,##0"/>
    <x:numFmt numFmtId="204" formatCode="0.0%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0"/>
      <x:color rgb="FF607089"/>
      <x:name val="Carlito"/>
    </x:font>
    <x:font>
      <x:b/>
      <x:sz val="12"/>
      <x:color rgb="FF10213A"/>
      <x:name val="Carlito"/>
    </x:font>
    <x:font>
      <x:b/>
      <x:sz val="10"/>
      <x:color rgb="FFFFFFFF"/>
      <x:name val="Carlito"/>
    </x:font>
    <x:font>
      <x:b/>
      <x:sz val="11"/>
      <x:color rgb="FF0B57D0"/>
      <x:name val="Carlito"/>
    </x:font>
    <x:font>
      <x:sz val="11"/>
      <x:color rgb="FF172B45"/>
      <x:name val="Carlito"/>
    </x:font>
    <x:font>
      <x:b/>
      <x:sz val="10"/>
      <x:color rgb="FF172B45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13A"/>
      </x:patternFill>
    </x:fill>
    <x:fill>
      <x:patternFill patternType="solid">
        <x:fgColor rgb="FFEEF4FF"/>
      </x:patternFill>
    </x:fill>
    <x:fill>
      <x:patternFill patternType="solid">
        <x:fgColor rgb="FFFF7A00"/>
      </x:patternFill>
    </x:fill>
    <x:fill>
      <x:patternFill patternType="solid">
        <x:fgColor rgb="FF0B57D0"/>
      </x:patternFill>
    </x:fill>
    <x:fill>
      <x:patternFill patternType="solid">
        <x:fgColor rgb="FFF5F7FA"/>
      </x:patternFill>
    </x:fill>
    <x:fill>
      <x:patternFill patternType="solid">
        <x:fgColor rgb="FFFFF4D6"/>
      </x:patternFill>
    </x:fill>
  </x:fills>
  <x:borders count="17">
    <x:border/>
    <x:border>
      <x:left style="thin">
        <x:color rgb="FF10213A"/>
      </x:left>
      <x:top style="thin">
        <x:color rgb="FF10213A"/>
      </x:top>
      <x:bottom style="thin">
        <x:color rgb="FF10213A"/>
      </x:bottom>
    </x:border>
    <x:border>
      <x:right style="thin">
        <x:color rgb="FF10213A"/>
      </x:right>
      <x:top style="thin">
        <x:color rgb="FF10213A"/>
      </x:top>
      <x:bottom style="thin">
        <x:color rgb="FF10213A"/>
      </x:bottom>
    </x:border>
    <x:border>
      <x:top style="thin">
        <x:color rgb="FF10213A"/>
      </x:top>
      <x:bottom style="thin">
        <x:color rgb="FF10213A"/>
      </x:bottom>
    </x:border>
    <x:border>
      <x:left style="thin">
        <x:color rgb="FFD8E0EB"/>
      </x:left>
      <x:top style="thin">
        <x:color rgb="FFD8E0EB"/>
      </x:top>
    </x:border>
    <x:border>
      <x:top style="thin">
        <x:color rgb="FFD8E0EB"/>
      </x:top>
    </x:border>
    <x:border>
      <x:right style="thin">
        <x:color rgb="FFD8E0EB"/>
      </x:right>
      <x:top style="thin">
        <x:color rgb="FFD8E0EB"/>
      </x:top>
    </x:border>
    <x:border>
      <x:left style="thin">
        <x:color rgb="FFD8E0EB"/>
      </x:left>
    </x:border>
    <x:border>
      <x:right style="thin">
        <x:color rgb="FFD8E0EB"/>
      </x:right>
    </x:border>
    <x:border>
      <x:left style="thin">
        <x:color rgb="FFD8E0EB"/>
      </x:left>
      <x:bottom style="thin">
        <x:color rgb="FFD8E0EB"/>
      </x:bottom>
    </x:border>
    <x:border>
      <x:bottom style="thin">
        <x:color rgb="FFD8E0EB"/>
      </x:bottom>
    </x:border>
    <x:border>
      <x:right style="thin">
        <x:color rgb="FFD8E0EB"/>
      </x:right>
      <x:bottom style="thin">
        <x:color rgb="FFD8E0EB"/>
      </x:bottom>
    </x:border>
    <x:border>
      <x:left style="thin">
        <x:color rgb="FFD8E0EB"/>
      </x:left>
      <x:right style="thin">
        <x:color rgb="FFD8E0EB"/>
      </x:right>
      <x:bottom style="thin">
        <x:color rgb="FFD8E0EB"/>
      </x:bottom>
    </x:border>
    <x:border>
      <x:right style="thin">
        <x:color rgb="FFD8E0EB"/>
      </x:right>
      <x:top style="thin">
        <x:color rgb="FFD8E0EB"/>
      </x:top>
      <x:bottom style="thin">
        <x:color rgb="FFD8E0EB"/>
      </x:bottom>
    </x:border>
    <x:border>
      <x:left style="thin">
        <x:color rgb="FFD8E0EB"/>
      </x:left>
      <x:right style="thin">
        <x:color rgb="FFD8E0EB"/>
      </x:right>
      <x:top style="thin">
        <x:color rgb="FFD8E0EB"/>
      </x:top>
      <x:bottom style="thin">
        <x:color rgb="FFD8E0EB"/>
      </x:bottom>
    </x:border>
    <x:border>
      <x:left style="thin">
        <x:color rgb="FFD8E0EB"/>
      </x:left>
      <x:top style="thin">
        <x:color rgb="FFD8E0EB"/>
      </x:top>
      <x:bottom style="thin">
        <x:color rgb="FFD8E0EB"/>
      </x:bottom>
    </x:border>
    <x:border>
      <x:left style="thin">
        <x:color rgb="FFD8E0EB"/>
      </x:left>
      <x:right style="thin">
        <x:color rgb="FFD8E0EB"/>
      </x:right>
      <x:top style="thin">
        <x:color rgb="FFD8E0EB"/>
      </x:top>
    </x:border>
  </x:borders>
  <x:cellStyleXfs count="1">
    <x:xf numFmtId="0" fontId="0" fillId="0" borderId="0"/>
  </x:cellStyleXfs>
  <x:cellXfs count="1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10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9" xfId="0" applyNumberFormat="1" applyFont="1" applyFill="1" applyBorder="1"/>
    <x:xf numFmtId="0" fontId="6" fillId="7" borderId="13" xfId="0" applyNumberFormat="1" applyFont="1" applyFill="1" applyBorder="1"/>
    <x:xf numFmtId="0" fontId="6" fillId="7" borderId="14" xfId="0" applyNumberFormat="1" applyFont="1" applyFill="1" applyBorder="1"/>
    <x:xf numFmtId="0" fontId="6" fillId="7" borderId="15" xfId="0" applyNumberFormat="1" applyFont="1" applyFill="1" applyBorder="1"/>
    <x:xf numFmtId="0" fontId="6" fillId="7" borderId="6" xfId="0" applyNumberFormat="1" applyFont="1" applyFill="1" applyBorder="1"/>
    <x:xf numFmtId="0" fontId="6" fillId="7" borderId="16" xfId="0" applyNumberFormat="1" applyFont="1" applyFill="1" applyBorder="1"/>
    <x:xf numFmtId="0" fontId="6" fillId="7" borderId="4" xfId="0" applyNumberFormat="1" applyFont="1" applyFill="1" applyBorder="1"/>
    <x:xf numFmtId="200" fontId="6" fillId="7" borderId="12" xfId="0" applyNumberFormat="1" applyFont="1" applyFill="1" applyBorder="1"/>
    <x:xf numFmtId="200" fontId="6" fillId="7" borderId="14" xfId="0" applyNumberFormat="1" applyFont="1" applyFill="1" applyBorder="1"/>
    <x:xf numFmtId="200" fontId="6" fillId="7" borderId="16" xfId="0" applyNumberFormat="1" applyFont="1" applyFill="1" applyBorder="1"/>
    <x:xf numFmtId="201" fontId="6" fillId="7" borderId="12" xfId="0" applyNumberFormat="1" applyFont="1" applyFill="1" applyBorder="1"/>
    <x:xf numFmtId="201" fontId="6" fillId="7" borderId="14" xfId="0" applyNumberFormat="1" applyFont="1" applyFill="1" applyBorder="1"/>
    <x:xf numFmtId="201" fontId="6" fillId="7" borderId="16" xfId="0" applyNumberFormat="1" applyFont="1" applyFill="1" applyBorder="1"/>
    <x:xf numFmtId="202" fontId="6" fillId="7" borderId="12" xfId="0" applyNumberFormat="1" applyFont="1" applyFill="1" applyBorder="1"/>
    <x:xf numFmtId="202" fontId="6" fillId="7" borderId="14" xfId="0" applyNumberFormat="1" applyFont="1" applyFill="1" applyBorder="1"/>
    <x:xf numFmtId="202" fontId="6" fillId="7" borderId="16" xfId="0" applyNumberFormat="1" applyFont="1" applyFill="1" applyBorder="1"/>
    <x:xf numFmtId="200" fontId="6" fillId="7" borderId="11" xfId="0" applyNumberFormat="1" applyFont="1" applyFill="1" applyBorder="1"/>
    <x:xf numFmtId="200" fontId="6" fillId="7" borderId="13" xfId="0" applyNumberFormat="1" applyFont="1" applyFill="1" applyBorder="1"/>
    <x:xf numFmtId="200" fontId="6" fillId="7" borderId="6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9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6" xfId="0" applyNumberFormat="1" applyFont="1" applyFill="1" applyBorder="1"/>
    <x:xf numFmtId="0" fontId="0" fillId="0" borderId="16" xfId="0" applyNumberFormat="1" applyFont="1" applyFill="1" applyBorder="1"/>
    <x:xf numFmtId="0" fontId="0" fillId="0" borderId="4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/>
    <x:xf numFmtId="0" fontId="0" fillId="6" borderId="9" xfId="0" applyNumberFormat="1" applyFont="1" applyFill="1" applyBorder="1"/>
    <x:xf numFmtId="0" fontId="0" fillId="6" borderId="13" xfId="0" applyNumberFormat="1" applyFont="1" applyFill="1" applyBorder="1"/>
    <x:xf numFmtId="0" fontId="0" fillId="6" borderId="15" xfId="0" applyNumberFormat="1" applyFont="1" applyFill="1" applyBorder="1"/>
    <x:xf numFmtId="0" fontId="0" fillId="6" borderId="6" xfId="0" applyNumberFormat="1" applyFont="1" applyFill="1" applyBorder="1"/>
    <x:xf numFmtId="0" fontId="0" fillId="6" borderId="4" xfId="0" applyNumberFormat="1" applyFont="1" applyFill="1" applyBorder="1"/>
    <x:xf numFmtId="203" fontId="0" fillId="6" borderId="9" xfId="0" applyNumberFormat="1" applyFont="1" applyFill="1" applyBorder="1"/>
    <x:xf numFmtId="203" fontId="0" fillId="6" borderId="15" xfId="0" applyNumberFormat="1" applyFont="1" applyFill="1" applyBorder="1"/>
    <x:xf numFmtId="203" fontId="0" fillId="6" borderId="4" xfId="0" applyNumberFormat="1" applyFont="1" applyFill="1" applyBorder="1"/>
    <x:xf numFmtId="204" fontId="0" fillId="0" borderId="0" xfId="0" applyNumberFormat="1" applyFont="1" applyFill="1" applyBorder="1"/>
    <x:xf numFmtId="204" fontId="0" fillId="3" borderId="0" xfId="0" applyNumberFormat="1" applyFont="1" applyFill="1" applyBorder="1"/>
    <x:xf numFmtId="0" fontId="0" fillId="3" borderId="11" xfId="0" applyNumberFormat="1" applyFont="1" applyFill="1" applyBorder="1"/>
    <x:xf numFmtId="204" fontId="0" fillId="3" borderId="9" xfId="0" applyNumberFormat="1" applyFont="1" applyFill="1" applyBorder="1"/>
    <x:xf numFmtId="0" fontId="0" fillId="3" borderId="13" xfId="0" applyNumberFormat="1" applyFont="1" applyFill="1" applyBorder="1"/>
    <x:xf numFmtId="204" fontId="0" fillId="3" borderId="15" xfId="0" applyNumberFormat="1" applyFont="1" applyFill="1" applyBorder="1"/>
    <x:xf numFmtId="0" fontId="0" fillId="3" borderId="6" xfId="0" applyNumberFormat="1" applyFont="1" applyFill="1" applyBorder="1"/>
    <x:xf numFmtId="204" fontId="0" fillId="3" borderId="4" xfId="0" applyNumberFormat="1" applyFont="1" applyFill="1" applyBorder="1"/>
    <x:xf numFmtId="201" fontId="0" fillId="0" borderId="0" xfId="0" applyNumberFormat="1" applyFont="1" applyFill="1" applyBorder="1"/>
    <x:xf numFmtId="201" fontId="0" fillId="7" borderId="0" xfId="0" applyNumberFormat="1" applyFont="1" applyFill="1" applyBorder="1"/>
    <x:xf numFmtId="0" fontId="0" fillId="7" borderId="11" xfId="0" applyNumberFormat="1" applyFont="1" applyFill="1" applyBorder="1"/>
    <x:xf numFmtId="0" fontId="0" fillId="7" borderId="9" xfId="0" applyNumberFormat="1" applyFont="1" applyFill="1" applyBorder="1"/>
    <x:xf numFmtId="0" fontId="0" fillId="7" borderId="13" xfId="0" applyNumberFormat="1" applyFont="1" applyFill="1" applyBorder="1"/>
    <x:xf numFmtId="0" fontId="0" fillId="7" borderId="15" xfId="0" applyNumberFormat="1" applyFont="1" applyFill="1" applyBorder="1"/>
    <x:xf numFmtId="0" fontId="0" fillId="7" borderId="6" xfId="0" applyNumberFormat="1" applyFont="1" applyFill="1" applyBorder="1"/>
    <x:xf numFmtId="201" fontId="0" fillId="7" borderId="4" xfId="0" applyNumberFormat="1" applyFont="1" applyFill="1" applyBorder="1"/>
    <x:xf numFmtId="0" fontId="8" fillId="2" borderId="0" xfId="0" applyNumberFormat="1" applyFont="1" applyFill="1" applyBorder="1"/>
    <x:xf numFmtId="0" fontId="0" fillId="3" borderId="11" xfId="0" applyNumberFormat="1" applyFont="1" applyFill="1" applyBorder="1" applyAlignment="1">
      <x:alignment vertical="center" wrapText="1"/>
    </x:xf>
    <x:xf numFmtId="0" fontId="0" fillId="3" borderId="13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9B2C2C"/>
      </x:font>
      <x:fill>
        <x:patternFill patternType="solid">
          <x:bgColor rgb="FFFCE8E8"/>
        </x:patternFill>
      </x:fill>
    </x:dxf>
    <x:dxf>
      <x:font>
        <x:b/>
        <x:color rgb="FF126044"/>
      </x:font>
      <x:fill>
        <x:patternFill patternType="solid">
          <x:bgColor rgb="FFDFF3E9"/>
        </x:patternFill>
      </x:fill>
    </x:dxf>
    <x:dxf>
      <x:font>
        <x:b/>
        <x:color rgb="FF9B2C2C"/>
      </x:font>
      <x:fill>
        <x:patternFill patternType="solid">
          <x:bgColor rgb="FFFCE8E8"/>
        </x:patternFill>
      </x:fill>
    </x:dxf>
    <x:dxf>
      <x:font>
        <x:b/>
        <x:color rgb="FFA84F00"/>
      </x:font>
      <x:fill>
        <x:patternFill patternType="solid">
          <x:bgColor rgb="FFFFE9D6"/>
        </x:patternFill>
      </x:fill>
    </x:dxf>
    <x:dxf>
      <x:font>
        <x:b/>
        <x:color rgb="FF126044"/>
      </x:font>
      <x:fill>
        <x:patternFill patternType="solid">
          <x:bgColor rgb="FFDFF3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13e03259fa437c" /><Relationship Type="http://schemas.openxmlformats.org/officeDocument/2006/relationships/theme" Target="/xl/theme/theme1.xml" Id="R4cdba9a747c24bf6" /><Relationship Type="http://schemas.openxmlformats.org/officeDocument/2006/relationships/sharedStrings" Target="/xl/sharedStrings.xml" Id="R8fb3e61590f04073" /><Relationship Type="http://schemas.openxmlformats.org/officeDocument/2006/relationships/worksheet" Target="/xl/worksheets/sheet1.xml" Id="Rc6e50fdb71c04ec8" /><Relationship Type="http://schemas.openxmlformats.org/officeDocument/2006/relationships/worksheet" Target="/xl/worksheets/sheet2.xml" Id="Rcbb5c85782ce481f" /><Relationship Type="http://schemas.openxmlformats.org/officeDocument/2006/relationships/worksheet" Target="/xl/worksheets/sheet3.xml" Id="R8d0add4ce7c24d01" /><Relationship Type="http://schemas.openxmlformats.org/officeDocument/2006/relationships/worksheet" Target="/xl/worksheets/sheet4.xml" Id="Raee472e59a8b4be4" /><Relationship Type="http://schemas.openxmlformats.org/officeDocument/2006/relationships/worksheet" Target="/xl/worksheets/sheet5.xml" Id="R1722fe5d57374828" /><Relationship Type="http://schemas.openxmlformats.org/officeDocument/2006/relationships/worksheet" Target="/xl/worksheets/sheet6.xml" Id="R1111f11010fd4ac8" /><Relationship Type="http://schemas.openxmlformats.org/officeDocument/2006/relationships/worksheet" Target="/xl/worksheets/sheet7.xml" Id="R10dcceb48a084578" /><Relationship Type="http://schemas.openxmlformats.org/officeDocument/2006/relationships/worksheet" Target="/xl/worksheets/sheet8.xml" Id="R8b879b3d07f04f46" /><Relationship Type="http://schemas.openxmlformats.org/officeDocument/2006/relationships/worksheet" Target="/xl/worksheets/sheet9.xml" Id="Re6560862cdb0410e" /><Relationship Type="http://schemas.openxmlformats.org/officeDocument/2006/relationships/worksheet" Target="/xl/worksheets/sheet10.xml" Id="R37e8451c44c34c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cfdcff314644b9" /><Relationship Type="http://schemas.openxmlformats.org/officeDocument/2006/relationships/chart" Target="/xl/drawings/charts/chart2.xml" Id="Rc5bd691c3c084e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Oportunidades por etapa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Número</c:v>
          </c:tx>
          <c:cat>
            <c:strRef>
              <c:f>'Dashboard'!$G$5:$G$12</c:f>
              <c:strCache>
                <c:ptCount val="0"/>
              </c:strCache>
            </c:strRef>
          </c:cat>
          <c:val>
            <c:numRef>
              <c:f>'Dashboard'!$H$5:$H$12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Actividad acumulada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Actual</c:v>
          </c:tx>
          <c:cat>
            <c:strRef>
              <c:f>'Dashboard'!$A$5:$A$11</c:f>
              <c:strCache>
                <c:ptCount val="0"/>
              </c:strCache>
            </c:strRef>
          </c:cat>
          <c:val>
            <c:numRef>
              <c:f>'Dashboard'!$B$5:$B$11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cfdcff314644b9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bd691c3c084e0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spectosTable" displayName="ProspectosTable" ref="A4:N204" headerRowCount="1" totalsRowCount="0" totalsRowShown="0">
  <x:tableColumns count="14">
    <x:tableColumn id="1" name="ID"/>
    <x:tableColumn id="2" name="Empresa"/>
    <x:tableColumn id="3" name="Web"/>
    <x:tableColumn id="4" name="Vertical"/>
    <x:tableColumn id="5" name="Ciudad / zona"/>
    <x:tableColumn id="6" name="Contacto"/>
    <x:tableColumn id="7" name="Cargo"/>
    <x:tableColumn id="8" name="Teléfono"/>
    <x:tableColumn id="9" name="Email"/>
    <x:tableColumn id="10" name="Fuente"/>
    <x:tableColumn id="11" name="Señal observada"/>
    <x:tableColumn id="12" name="Confianza"/>
    <x:tableColumn id="13" name="Responsable"/>
    <x:tableColumn id="14" name="Estado lis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pelineTable" displayName="PipelineTable" ref="A4:O204" headerRowCount="1" totalsRowCount="0" totalsRowShown="0">
  <x:tableColumns count="15">
    <x:tableColumn id="1" name="Oportunidad ID"/>
    <x:tableColumn id="2" name="Empresa"/>
    <x:tableColumn id="3" name="Vertical"/>
    <x:tableColumn id="4" name="Línea prioritaria"/>
    <x:tableColumn id="5" name="Fuente"/>
    <x:tableColumn id="6" name="Etapa"/>
    <x:tableColumn id="7" name="Prioridad"/>
    <x:tableColumn id="8" name="Responsable"/>
    <x:tableColumn id="9" name="Próxima acción"/>
    <x:tableColumn id="10" name="Fecha próxima"/>
    <x:tableColumn id="11" name="Decisor"/>
    <x:tableColumn id="12" name="Valor estimado"/>
    <x:tableColumn id="13" name="Probabilidad"/>
    <x:tableColumn id="14" name="Última nota"/>
    <x:tableColumn id="15" name="Motivo pérdida / bloque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idadTable" displayName="ActividadTable" ref="A4:M204" headerRowCount="1" totalsRowCount="0" totalsRowShown="0">
  <x:tableColumns count="13">
    <x:tableColumn id="1" name="Fecha"/>
    <x:tableColumn id="2" name="Responsable"/>
    <x:tableColumn id="3" name="Bloque"/>
    <x:tableColumn id="4" name="Marcaciones"/>
    <x:tableColumn id="5" name="Conversaciones"/>
    <x:tableColumn id="6" name="Cualificados"/>
    <x:tableColumn id="7" name="Reuniones"/>
    <x:tableColumn id="8" name="Celebradas"/>
    <x:tableColumn id="9" name="Propuestas"/>
    <x:tableColumn id="10" name="Ganados"/>
    <x:tableColumn id="11" name="Seguimientos"/>
    <x:tableColumn id="12" name="Observación"/>
    <x:tableColumn id="13" name="Seman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cf26a5ab1242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36a1dc4ed041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8a9d3687f04b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3bc5b5ea3dae47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2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SISTEMA COMERCIAL REDVITALIA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CRM operativo B2B · plantilla editable · los registros de ejemplo están marcados para borrar</x:v>
      </x:c>
      <x:c r="B2" s="6"/>
      <x:c r="C2" s="6"/>
      <x:c r="D2" s="6"/>
      <x:c r="E2" s="6"/>
      <x:c r="F2" s="6"/>
      <x:c r="G2" s="6"/>
      <x:c r="H2" s="6"/>
    </x:row>
    <x:row r="4" ht="28" customHeight="1">
      <x:c r="A4" s="9" t="str">
        <x:v>EMPIEZA AQUÍ</x:v>
      </x:c>
      <x:c r="B4" s="9"/>
      <x:c r="C4" s="9"/>
      <x:c r="D4" s="9"/>
      <x:c r="E4" s="9"/>
      <x:c r="F4" s="9"/>
      <x:c r="G4" s="9"/>
      <x:c r="H4" s="9"/>
    </x:row>
    <x:row r="6" ht="28" customHeight="1">
      <x:c r="A6" s="16" t="str">
        <x:v>Paso</x:v>
      </x:c>
      <x:c r="B6" s="17" t="str">
        <x:v>Acción</x:v>
      </x:c>
      <x:c r="D6" s="16" t="str">
        <x:v>REGLAS DE USO</x:v>
      </x:c>
      <x:c r="E6" s="22"/>
      <x:c r="F6" s="22"/>
      <x:c r="G6" s="22"/>
      <x:c r="H6" s="17"/>
    </x:row>
    <x:row r="7" ht="30" customHeight="1">
      <x:c r="A7" s="19" t="n">
        <x:v>1</x:v>
      </x:c>
      <x:c r="B7" t="str">
        <x:v>Borra o sustituye las filas “EJEMPLO - BORRAR”.</x:v>
      </x:c>
      <x:c r="D7" s="42" t="str">
        <x:v>• Este libro vende servicios publicitarios de RedVitalia a empresas; no gestiona sus leads B2C.
• Distingue dato, hipótesis y pendiente.
• No inventes clientes, precios, resultados ni fuentes.
• Toda oportunidad requiere responsable, próxima acción y fecha.
• Ninguna aprobación ejecuta campañas o publica anuncios.
• Respeta privacidad, oposición y normas aplicables a cada canal.</x:v>
      </x:c>
      <x:c r="E7" s="43"/>
      <x:c r="F7" s="43"/>
      <x:c r="G7" s="43"/>
      <x:c r="H7" s="44"/>
    </x:row>
    <x:row r="8" ht="30" customHeight="1">
      <x:c r="A8" s="19" t="n">
        <x:v>2</x:v>
      </x:c>
      <x:c r="B8" t="str">
        <x:v>Carga empresas reales en Prospectos.</x:v>
      </x:c>
      <x:c r="D8" s="45"/>
      <x:c r="E8" s="46"/>
      <x:c r="F8" s="46"/>
      <x:c r="G8" s="46"/>
      <x:c r="H8" s="47"/>
    </x:row>
    <x:row r="9" ht="30" customHeight="1">
      <x:c r="A9" s="19" t="n">
        <x:v>3</x:v>
      </x:c>
      <x:c r="B9" t="str">
        <x:v>Mueve oportunidades y fecha siguiente acción en Pipeline.</x:v>
      </x:c>
      <x:c r="D9" s="45"/>
      <x:c r="E9" s="46"/>
      <x:c r="F9" s="46"/>
      <x:c r="G9" s="46"/>
      <x:c r="H9" s="47"/>
    </x:row>
    <x:row r="10" ht="30" customHeight="1">
      <x:c r="A10" s="19" t="n">
        <x:v>4</x:v>
      </x:c>
      <x:c r="B10" t="str">
        <x:v>Registra actividad diaria al terminar cada bloque.</x:v>
      </x:c>
      <x:c r="D10" s="45"/>
      <x:c r="E10" s="46"/>
      <x:c r="F10" s="46"/>
      <x:c r="G10" s="46"/>
      <x:c r="H10" s="47"/>
    </x:row>
    <x:row r="11" ht="30" customHeight="1">
      <x:c r="A11" s="19" t="n">
        <x:v>5</x:v>
      </x:c>
      <x:c r="B11" t="str">
        <x:v>Revisa Dashboard y escucha llamadas con los scorecards.</x:v>
      </x:c>
      <x:c r="D11" s="45"/>
      <x:c r="E11" s="46"/>
      <x:c r="F11" s="46"/>
      <x:c r="G11" s="46"/>
      <x:c r="H11" s="47"/>
    </x:row>
    <x:row r="12" ht="30" customHeight="1">
      <x:c r="A12" s="19" t="n">
        <x:v>6</x:v>
      </x:c>
      <x:c r="B12" t="str">
        <x:v>Consulta precios solo en la fuente canónica de la aplicación.</x:v>
      </x:c>
      <x:c r="D12" s="48"/>
      <x:c r="E12" s="49"/>
      <x:c r="F12" s="49"/>
      <x:c r="G12" s="49"/>
      <x:c r="H12" s="50"/>
    </x:row>
    <x:row r="14" ht="28" customHeight="1">
      <x:c r="A14" s="53" t="str">
        <x:v>Código de color: amarillo = entrada editable · azul = estructura · verde = avance · rojo = atención</x:v>
      </x:c>
      <x:c r="B14" s="53"/>
      <x:c r="C14" s="53"/>
      <x:c r="D14" s="53"/>
      <x:c r="E14" s="53"/>
      <x:c r="F14" s="53"/>
      <x:c r="G14" s="53"/>
      <x:c r="H14" s="53"/>
    </x:row>
  </x:sheetData>
  <x:mergeCells>
    <x:mergeCell ref="A1:H1"/>
    <x:mergeCell ref="A2:H2"/>
    <x:mergeCell ref="A4:H4"/>
    <x:mergeCell ref="D6:H6"/>
    <x:mergeCell ref="D7:H1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28" hidden="0" customWidth="1"/>
    <x:col min="4" max="4" width="26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  <x:col min="9" max="9" width="30" hidden="0" customWidth="1"/>
    <x:col min="10" max="10" width="18" hidden="0" customWidth="1"/>
    <x:col min="11" max="11" width="42" hidden="0" customWidth="1"/>
    <x:col min="12" max="12" width="12" hidden="0" customWidth="1"/>
    <x:col min="13" max="13" width="16" hidden="0" customWidth="1"/>
    <x:col min="14" max="14" width="16" hidden="0" customWidth="1"/>
  </x:cols>
  <x:sheetData>
    <x:row r="1" ht="34" customHeight="1">
      <x:c r="A1" s="3" t="str">
        <x:v>PROSPECTOS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6" t="str">
        <x:v>Lista de cuentas y contactos. Una fila = una empresa/persona de contacto verificable.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28" customHeight="1">
      <x:c r="A4" s="16" t="str">
        <x:v>ID</x:v>
      </x:c>
      <x:c r="B4" s="22" t="str">
        <x:v>Empresa</x:v>
      </x:c>
      <x:c r="C4" s="22" t="str">
        <x:v>Web</x:v>
      </x:c>
      <x:c r="D4" s="22" t="str">
        <x:v>Vertical</x:v>
      </x:c>
      <x:c r="E4" s="22" t="str">
        <x:v>Ciudad / zona</x:v>
      </x:c>
      <x:c r="F4" s="22" t="str">
        <x:v>Contacto</x:v>
      </x:c>
      <x:c r="G4" s="22" t="str">
        <x:v>Cargo</x:v>
      </x:c>
      <x:c r="H4" s="22" t="str">
        <x:v>Teléfono</x:v>
      </x:c>
      <x:c r="I4" s="22" t="str">
        <x:v>Email</x:v>
      </x:c>
      <x:c r="J4" s="22" t="str">
        <x:v>Fuente</x:v>
      </x:c>
      <x:c r="K4" s="22" t="str">
        <x:v>Señal observada</x:v>
      </x:c>
      <x:c r="L4" s="22" t="str">
        <x:v>Confianza</x:v>
      </x:c>
      <x:c r="M4" s="22" t="str">
        <x:v>Responsable</x:v>
      </x:c>
      <x:c r="N4" s="17" t="str">
        <x:v>Estado lista</x:v>
      </x:c>
    </x:row>
    <x:row r="5">
      <x:c r="A5" s="55" t="str">
        <x:v>EJ-001</x:v>
      </x:c>
      <x:c r="B5" s="56" t="str">
        <x:v>EJEMPLO - BORRAR · Empresa demostración</x:v>
      </x:c>
      <x:c r="C5" s="56" t="str">
        <x:v>https://ejemplo.invalid</x:v>
      </x:c>
      <x:c r="D5" s="56" t="str">
        <x:v>Reformas de alto valor</x:v>
      </x:c>
      <x:c r="E5" s="56" t="str">
        <x:v>Zona por validar</x:v>
      </x:c>
      <x:c r="F5" s="56" t="str">
        <x:v>Decisor por validar</x:v>
      </x:c>
      <x:c r="G5" s="56" t="str">
        <x:v>Dirección</x:v>
      </x:c>
      <x:c r="H5" s="56" t="str"/>
      <x:c r="I5" s="56" t="str"/>
      <x:c r="J5" s="56" t="str">
        <x:v>EJEMPLO</x:v>
      </x:c>
      <x:c r="K5" s="56" t="str">
        <x:v>Portfolio visible; dato no verificado</x:v>
      </x:c>
      <x:c r="L5" s="56" t="str">
        <x:v>Baja</x:v>
      </x:c>
      <x:c r="M5" s="56" t="str">
        <x:v>Caller</x:v>
      </x:c>
      <x:c r="N5" s="57" t="str">
        <x:v>Investigar</x:v>
      </x:c>
    </x:row>
    <x:row r="6">
      <x:c r="A6" s="58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60"/>
    </x:row>
    <x:row r="7">
      <x:c r="A7" s="58"/>
      <x:c r="B7" s="59"/>
      <x:c r="C7" s="59"/>
      <x:c r="D7" s="59"/>
      <x:c r="E7" s="59"/>
      <x:c r="F7" s="59"/>
      <x:c r="G7" s="59"/>
      <x:c r="H7" s="59"/>
      <x:c r="I7" s="59"/>
      <x:c r="J7" s="59"/>
      <x:c r="K7" s="59"/>
      <x:c r="L7" s="59"/>
      <x:c r="M7" s="59"/>
      <x:c r="N7" s="60"/>
    </x:row>
    <x:row r="8">
      <x:c r="A8" s="58"/>
      <x:c r="B8" s="59"/>
      <x:c r="C8" s="59"/>
      <x:c r="D8" s="59"/>
      <x:c r="E8" s="59"/>
      <x:c r="F8" s="59"/>
      <x:c r="G8" s="59"/>
      <x:c r="H8" s="59"/>
      <x:c r="I8" s="59"/>
      <x:c r="J8" s="59"/>
      <x:c r="K8" s="59"/>
      <x:c r="L8" s="59"/>
      <x:c r="M8" s="59"/>
      <x:c r="N8" s="60"/>
    </x:row>
    <x:row r="9">
      <x:c r="A9" s="58"/>
      <x:c r="B9" s="59"/>
      <x:c r="C9" s="59"/>
      <x:c r="D9" s="59"/>
      <x:c r="E9" s="59"/>
      <x:c r="F9" s="59"/>
      <x:c r="G9" s="59"/>
      <x:c r="H9" s="59"/>
      <x:c r="I9" s="59"/>
      <x:c r="J9" s="59"/>
      <x:c r="K9" s="59"/>
      <x:c r="L9" s="59"/>
      <x:c r="M9" s="59"/>
      <x:c r="N9" s="60"/>
    </x:row>
    <x:row r="10">
      <x:c r="A10" s="58"/>
      <x:c r="B10" s="59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59"/>
      <x:c r="N10" s="60"/>
    </x:row>
    <x:row r="11">
      <x:c r="A11" s="58"/>
      <x:c r="B11" s="59"/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59"/>
      <x:c r="N11" s="60"/>
    </x:row>
    <x:row r="12">
      <x:c r="A12" s="58"/>
      <x:c r="B12" s="59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59"/>
      <x:c r="N12" s="60"/>
    </x:row>
    <x:row r="13">
      <x:c r="A13" s="58"/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60"/>
    </x:row>
    <x:row r="14">
      <x:c r="A14" s="58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60"/>
    </x:row>
    <x:row r="15">
      <x:c r="A15" s="58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60"/>
    </x:row>
    <x:row r="16">
      <x:c r="A16" s="58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60"/>
    </x:row>
    <x:row r="17">
      <x:c r="A17" s="58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60"/>
    </x:row>
    <x:row r="18">
      <x:c r="A18" s="58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60"/>
    </x:row>
    <x:row r="19">
      <x:c r="A19" s="58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60"/>
    </x:row>
    <x:row r="20">
      <x:c r="A20" s="58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60"/>
    </x:row>
    <x:row r="21">
      <x:c r="A21" s="58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60"/>
    </x:row>
    <x:row r="22">
      <x:c r="A22" s="58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60"/>
    </x:row>
    <x:row r="23">
      <x:c r="A23" s="58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60"/>
    </x:row>
    <x:row r="24">
      <x:c r="A24" s="58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60"/>
    </x:row>
    <x:row r="25">
      <x:c r="A25" s="58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60"/>
    </x:row>
    <x:row r="26">
      <x:c r="A26" s="58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60"/>
    </x:row>
    <x:row r="27">
      <x:c r="A27" s="58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60"/>
    </x:row>
    <x:row r="28">
      <x:c r="A28" s="58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60"/>
    </x:row>
    <x:row r="29">
      <x:c r="A29" s="58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60"/>
    </x:row>
    <x:row r="30">
      <x:c r="A30" s="58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60"/>
    </x:row>
    <x:row r="31">
      <x:c r="A31" s="58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60"/>
    </x:row>
    <x:row r="32">
      <x:c r="A32" s="58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60"/>
    </x:row>
    <x:row r="33">
      <x:c r="A33" s="58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60"/>
    </x:row>
    <x:row r="34">
      <x:c r="A34" s="58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60"/>
    </x:row>
    <x:row r="35">
      <x:c r="A35" s="58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60"/>
    </x:row>
    <x:row r="36">
      <x:c r="A36" s="58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60"/>
    </x:row>
    <x:row r="37">
      <x:c r="A37" s="58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60"/>
    </x:row>
    <x:row r="38">
      <x:c r="A38" s="58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60"/>
    </x:row>
    <x:row r="39">
      <x:c r="A39" s="58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60"/>
    </x:row>
    <x:row r="40">
      <x:c r="A40" s="58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60"/>
    </x:row>
    <x:row r="41">
      <x:c r="A41" s="58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60"/>
    </x:row>
    <x:row r="42">
      <x:c r="A42" s="58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60"/>
    </x:row>
    <x:row r="43">
      <x:c r="A43" s="58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60"/>
    </x:row>
    <x:row r="44">
      <x:c r="A44" s="58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60"/>
    </x:row>
    <x:row r="45">
      <x:c r="A45" s="58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60"/>
    </x:row>
    <x:row r="46">
      <x:c r="A46" s="58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60"/>
    </x:row>
    <x:row r="47">
      <x:c r="A47" s="58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60"/>
    </x:row>
    <x:row r="48">
      <x:c r="A48" s="58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60"/>
    </x:row>
    <x:row r="49">
      <x:c r="A49" s="58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60"/>
    </x:row>
    <x:row r="50">
      <x:c r="A50" s="58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60"/>
    </x:row>
    <x:row r="51">
      <x:c r="A51" s="58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60"/>
    </x:row>
    <x:row r="52">
      <x:c r="A52" s="58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60"/>
    </x:row>
    <x:row r="53">
      <x:c r="A53" s="58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60"/>
    </x:row>
    <x:row r="54">
      <x:c r="A54" s="58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60"/>
    </x:row>
    <x:row r="55">
      <x:c r="A55" s="58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60"/>
    </x:row>
    <x:row r="56">
      <x:c r="A56" s="58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60"/>
    </x:row>
    <x:row r="57">
      <x:c r="A57" s="58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60"/>
    </x:row>
    <x:row r="58">
      <x:c r="A58" s="58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60"/>
    </x:row>
    <x:row r="59">
      <x:c r="A59" s="58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60"/>
    </x:row>
    <x:row r="60">
      <x:c r="A60" s="58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60"/>
    </x:row>
    <x:row r="61">
      <x:c r="A61" s="58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60"/>
    </x:row>
    <x:row r="62">
      <x:c r="A62" s="58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60"/>
    </x:row>
    <x:row r="63">
      <x:c r="A63" s="58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60"/>
    </x:row>
    <x:row r="64">
      <x:c r="A64" s="58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60"/>
    </x:row>
    <x:row r="65">
      <x:c r="A65" s="58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60"/>
    </x:row>
    <x:row r="66">
      <x:c r="A66" s="58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60"/>
    </x:row>
    <x:row r="67">
      <x:c r="A67" s="58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60"/>
    </x:row>
    <x:row r="68">
      <x:c r="A68" s="58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60"/>
    </x:row>
    <x:row r="69">
      <x:c r="A69" s="58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60"/>
    </x:row>
    <x:row r="70">
      <x:c r="A70" s="58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60"/>
    </x:row>
    <x:row r="71">
      <x:c r="A71" s="58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60"/>
    </x:row>
    <x:row r="72">
      <x:c r="A72" s="58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60"/>
    </x:row>
    <x:row r="73">
      <x:c r="A73" s="58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60"/>
    </x:row>
    <x:row r="74">
      <x:c r="A74" s="58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60"/>
    </x:row>
    <x:row r="75">
      <x:c r="A75" s="58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60"/>
    </x:row>
    <x:row r="76">
      <x:c r="A76" s="58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60"/>
    </x:row>
    <x:row r="77">
      <x:c r="A77" s="58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60"/>
    </x:row>
    <x:row r="78">
      <x:c r="A78" s="58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60"/>
    </x:row>
    <x:row r="79">
      <x:c r="A79" s="58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60"/>
    </x:row>
    <x:row r="80">
      <x:c r="A80" s="58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60"/>
    </x:row>
    <x:row r="81">
      <x:c r="A81" s="58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60"/>
    </x:row>
    <x:row r="82">
      <x:c r="A82" s="58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60"/>
    </x:row>
    <x:row r="83">
      <x:c r="A83" s="58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60"/>
    </x:row>
    <x:row r="84">
      <x:c r="A84" s="58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60"/>
    </x:row>
    <x:row r="85">
      <x:c r="A85" s="58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60"/>
    </x:row>
    <x:row r="86">
      <x:c r="A86" s="58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60"/>
    </x:row>
    <x:row r="87">
      <x:c r="A87" s="58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60"/>
    </x:row>
    <x:row r="88">
      <x:c r="A88" s="58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60"/>
    </x:row>
    <x:row r="89">
      <x:c r="A89" s="58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60"/>
    </x:row>
    <x:row r="90">
      <x:c r="A90" s="58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60"/>
    </x:row>
    <x:row r="91">
      <x:c r="A91" s="58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60"/>
    </x:row>
    <x:row r="92">
      <x:c r="A92" s="58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60"/>
    </x:row>
    <x:row r="93">
      <x:c r="A93" s="58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60"/>
    </x:row>
    <x:row r="94">
      <x:c r="A94" s="58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60"/>
    </x:row>
    <x:row r="95">
      <x:c r="A95" s="58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60"/>
    </x:row>
    <x:row r="96">
      <x:c r="A96" s="58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60"/>
    </x:row>
    <x:row r="97">
      <x:c r="A97" s="58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60"/>
    </x:row>
    <x:row r="98">
      <x:c r="A98" s="58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60"/>
    </x:row>
    <x:row r="99">
      <x:c r="A99" s="58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60"/>
    </x:row>
    <x:row r="100">
      <x:c r="A100" s="58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60"/>
    </x:row>
    <x:row r="101">
      <x:c r="A101" s="58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60"/>
    </x:row>
    <x:row r="102">
      <x:c r="A102" s="58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60"/>
    </x:row>
    <x:row r="103">
      <x:c r="A103" s="58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60"/>
    </x:row>
    <x:row r="104">
      <x:c r="A104" s="58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60"/>
    </x:row>
    <x:row r="105">
      <x:c r="A105" s="58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60"/>
    </x:row>
    <x:row r="106">
      <x:c r="A106" s="58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60"/>
    </x:row>
    <x:row r="107">
      <x:c r="A107" s="58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60"/>
    </x:row>
    <x:row r="108">
      <x:c r="A108" s="58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60"/>
    </x:row>
    <x:row r="109">
      <x:c r="A109" s="58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60"/>
    </x:row>
    <x:row r="110">
      <x:c r="A110" s="58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60"/>
    </x:row>
    <x:row r="111">
      <x:c r="A111" s="58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60"/>
    </x:row>
    <x:row r="112">
      <x:c r="A112" s="58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60"/>
    </x:row>
    <x:row r="113">
      <x:c r="A113" s="58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60"/>
    </x:row>
    <x:row r="114">
      <x:c r="A114" s="58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60"/>
    </x:row>
    <x:row r="115">
      <x:c r="A115" s="58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60"/>
    </x:row>
    <x:row r="116">
      <x:c r="A116" s="58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60"/>
    </x:row>
    <x:row r="117">
      <x:c r="A117" s="58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60"/>
    </x:row>
    <x:row r="118">
      <x:c r="A118" s="58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60"/>
    </x:row>
    <x:row r="119">
      <x:c r="A119" s="58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60"/>
    </x:row>
    <x:row r="120">
      <x:c r="A120" s="58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60"/>
    </x:row>
    <x:row r="121">
      <x:c r="A121" s="58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60"/>
    </x:row>
    <x:row r="122">
      <x:c r="A122" s="58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60"/>
    </x:row>
    <x:row r="123">
      <x:c r="A123" s="58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60"/>
    </x:row>
    <x:row r="124">
      <x:c r="A124" s="58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60"/>
    </x:row>
    <x:row r="125">
      <x:c r="A125" s="58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60"/>
    </x:row>
    <x:row r="126">
      <x:c r="A126" s="58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60"/>
    </x:row>
    <x:row r="127">
      <x:c r="A127" s="58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60"/>
    </x:row>
    <x:row r="128">
      <x:c r="A128" s="58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60"/>
    </x:row>
    <x:row r="129">
      <x:c r="A129" s="58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60"/>
    </x:row>
    <x:row r="130">
      <x:c r="A130" s="58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60"/>
    </x:row>
    <x:row r="131">
      <x:c r="A131" s="58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60"/>
    </x:row>
    <x:row r="132">
      <x:c r="A132" s="58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60"/>
    </x:row>
    <x:row r="133">
      <x:c r="A133" s="58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60"/>
    </x:row>
    <x:row r="134">
      <x:c r="A134" s="58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60"/>
    </x:row>
    <x:row r="135">
      <x:c r="A135" s="58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60"/>
    </x:row>
    <x:row r="136">
      <x:c r="A136" s="58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60"/>
    </x:row>
    <x:row r="137">
      <x:c r="A137" s="58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60"/>
    </x:row>
    <x:row r="138">
      <x:c r="A138" s="58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60"/>
    </x:row>
    <x:row r="139">
      <x:c r="A139" s="58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60"/>
    </x:row>
    <x:row r="140">
      <x:c r="A140" s="58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60"/>
    </x:row>
    <x:row r="141">
      <x:c r="A141" s="58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60"/>
    </x:row>
    <x:row r="142">
      <x:c r="A142" s="58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60"/>
    </x:row>
    <x:row r="143">
      <x:c r="A143" s="58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60"/>
    </x:row>
    <x:row r="144">
      <x:c r="A144" s="58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60"/>
    </x:row>
    <x:row r="145">
      <x:c r="A145" s="58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60"/>
    </x:row>
    <x:row r="146">
      <x:c r="A146" s="58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60"/>
    </x:row>
    <x:row r="147">
      <x:c r="A147" s="58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60"/>
    </x:row>
    <x:row r="148">
      <x:c r="A148" s="58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60"/>
    </x:row>
    <x:row r="149">
      <x:c r="A149" s="58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60"/>
    </x:row>
    <x:row r="150">
      <x:c r="A150" s="58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60"/>
    </x:row>
    <x:row r="151">
      <x:c r="A151" s="58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60"/>
    </x:row>
    <x:row r="152">
      <x:c r="A152" s="58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60"/>
    </x:row>
    <x:row r="153">
      <x:c r="A153" s="58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60"/>
    </x:row>
    <x:row r="154">
      <x:c r="A154" s="58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60"/>
    </x:row>
    <x:row r="155">
      <x:c r="A155" s="58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60"/>
    </x:row>
    <x:row r="156">
      <x:c r="A156" s="58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60"/>
    </x:row>
    <x:row r="157">
      <x:c r="A157" s="58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60"/>
    </x:row>
    <x:row r="158">
      <x:c r="A158" s="58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60"/>
    </x:row>
    <x:row r="159">
      <x:c r="A159" s="58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60"/>
    </x:row>
    <x:row r="160">
      <x:c r="A160" s="58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60"/>
    </x:row>
    <x:row r="161">
      <x:c r="A161" s="58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60"/>
    </x:row>
    <x:row r="162">
      <x:c r="A162" s="58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60"/>
    </x:row>
    <x:row r="163">
      <x:c r="A163" s="58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60"/>
    </x:row>
    <x:row r="164">
      <x:c r="A164" s="58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60"/>
    </x:row>
    <x:row r="165">
      <x:c r="A165" s="58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60"/>
    </x:row>
    <x:row r="166">
      <x:c r="A166" s="58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60"/>
    </x:row>
    <x:row r="167">
      <x:c r="A167" s="58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60"/>
    </x:row>
    <x:row r="168">
      <x:c r="A168" s="58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60"/>
    </x:row>
    <x:row r="169">
      <x:c r="A169" s="58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60"/>
    </x:row>
    <x:row r="170">
      <x:c r="A170" s="58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60"/>
    </x:row>
    <x:row r="171">
      <x:c r="A171" s="58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60"/>
    </x:row>
    <x:row r="172">
      <x:c r="A172" s="58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60"/>
    </x:row>
    <x:row r="173">
      <x:c r="A173" s="58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60"/>
    </x:row>
    <x:row r="174">
      <x:c r="A174" s="58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60"/>
    </x:row>
    <x:row r="175">
      <x:c r="A175" s="58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60"/>
    </x:row>
    <x:row r="176">
      <x:c r="A176" s="58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60"/>
    </x:row>
    <x:row r="177">
      <x:c r="A177" s="58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60"/>
    </x:row>
    <x:row r="178">
      <x:c r="A178" s="58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60"/>
    </x:row>
    <x:row r="179">
      <x:c r="A179" s="58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60"/>
    </x:row>
    <x:row r="180">
      <x:c r="A180" s="58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60"/>
    </x:row>
    <x:row r="181">
      <x:c r="A181" s="58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60"/>
    </x:row>
    <x:row r="182">
      <x:c r="A182" s="58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60"/>
    </x:row>
    <x:row r="183">
      <x:c r="A183" s="58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60"/>
    </x:row>
    <x:row r="184">
      <x:c r="A184" s="58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60"/>
    </x:row>
    <x:row r="185">
      <x:c r="A185" s="58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60"/>
    </x:row>
    <x:row r="186">
      <x:c r="A186" s="58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60"/>
    </x:row>
    <x:row r="187">
      <x:c r="A187" s="58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60"/>
    </x:row>
    <x:row r="188">
      <x:c r="A188" s="58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60"/>
    </x:row>
    <x:row r="189">
      <x:c r="A189" s="58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60"/>
    </x:row>
    <x:row r="190">
      <x:c r="A190" s="58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60"/>
    </x:row>
    <x:row r="191">
      <x:c r="A191" s="58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60"/>
    </x:row>
    <x:row r="192">
      <x:c r="A192" s="58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60"/>
    </x:row>
    <x:row r="193">
      <x:c r="A193" s="58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60"/>
    </x:row>
    <x:row r="194">
      <x:c r="A194" s="58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60"/>
    </x:row>
    <x:row r="195">
      <x:c r="A195" s="58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60"/>
    </x:row>
    <x:row r="196">
      <x:c r="A196" s="58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60"/>
    </x:row>
    <x:row r="197">
      <x:c r="A197" s="58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60"/>
    </x:row>
    <x:row r="198">
      <x:c r="A198" s="58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60"/>
    </x:row>
    <x:row r="199">
      <x:c r="A199" s="58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60"/>
    </x:row>
    <x:row r="200">
      <x:c r="A200" s="58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60"/>
    </x:row>
    <x:row r="201">
      <x:c r="A201" s="58"/>
      <x:c r="B201" s="59"/>
      <x:c r="C201" s="59"/>
      <x:c r="D201" s="59"/>
      <x:c r="E201" s="59"/>
      <x:c r="F201" s="59"/>
      <x:c r="G201" s="59"/>
      <x:c r="H201" s="59"/>
      <x:c r="I201" s="59"/>
      <x:c r="J201" s="59"/>
      <x:c r="K201" s="59"/>
      <x:c r="L201" s="59"/>
      <x:c r="M201" s="59"/>
      <x:c r="N201" s="60"/>
    </x:row>
    <x:row r="202">
      <x:c r="A202" s="58"/>
      <x:c r="B202" s="59"/>
      <x:c r="C202" s="59"/>
      <x:c r="D202" s="59"/>
      <x:c r="E202" s="59"/>
      <x:c r="F202" s="59"/>
      <x:c r="G202" s="59"/>
      <x:c r="H202" s="59"/>
      <x:c r="I202" s="59"/>
      <x:c r="J202" s="59"/>
      <x:c r="K202" s="59"/>
      <x:c r="L202" s="59"/>
      <x:c r="M202" s="59"/>
      <x:c r="N202" s="60"/>
    </x:row>
    <x:row r="203">
      <x:c r="A203" s="58"/>
      <x:c r="B203" s="59"/>
      <x:c r="C203" s="59"/>
      <x:c r="D203" s="59"/>
      <x:c r="E203" s="59"/>
      <x:c r="F203" s="59"/>
      <x:c r="G203" s="59"/>
      <x:c r="H203" s="59"/>
      <x:c r="I203" s="59"/>
      <x:c r="J203" s="59"/>
      <x:c r="K203" s="59"/>
      <x:c r="L203" s="59"/>
      <x:c r="M203" s="59"/>
      <x:c r="N203" s="60"/>
    </x:row>
    <x:row r="204">
      <x:c r="A204" s="61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2"/>
      <x:c r="M204" s="62"/>
      <x:c r="N204" s="63"/>
    </x:row>
  </x:sheetData>
  <x:mergeCells>
    <x:mergeCell ref="A1:N1"/>
    <x:mergeCell ref="A2:N2"/>
  </x:mergeCells>
  <x:conditionalFormatting sqref="N5:N204">
    <x:cfRule type="containsText" dxfId="0" priority="1" operator="containsText" text="No usar"/>
  </x:conditionalFormatting>
  <x:dataValidations count="3">
    <x:dataValidation type="list" sqref="D5:D204">
      <x:formula1>'Verticales ICP'!$A$5:$A$16</x:formula1>
    </x:dataValidation>
    <x:dataValidation type="list" sqref="L5:L204">
      <x:formula1>"Alta,Media,Baja"</x:formula1>
    </x:dataValidation>
    <x:dataValidation type="list" sqref="N5:N204">
      <x:formula1>"Investigar,Lista,No usar,Duplicado"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cf26a5ab1242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25" hidden="0" customWidth="1"/>
    <x:col min="4" max="4" width="24" hidden="0" customWidth="1"/>
    <x:col min="5" max="5" width="16" hidden="0" customWidth="1"/>
    <x:col min="6" max="6" width="18" hidden="0" customWidth="1"/>
    <x:col min="7" max="7" width="12" hidden="0" customWidth="1"/>
    <x:col min="8" max="8" width="16" hidden="0" customWidth="1"/>
    <x:col min="9" max="9" width="28" hidden="0" customWidth="1"/>
    <x:col min="10" max="10" width="16" hidden="0" customWidth="1"/>
    <x:col min="11" max="11" width="20" hidden="0" customWidth="1"/>
    <x:col min="12" max="12" width="16" hidden="0" customWidth="1"/>
    <x:col min="13" max="13" width="14" hidden="0" customWidth="1"/>
    <x:col min="14" max="14" width="44" hidden="0" customWidth="1"/>
    <x:col min="15" max="15" width="34" hidden="0" customWidth="1"/>
  </x:cols>
  <x:sheetData>
    <x:row r="1" ht="34" customHeight="1">
      <x:c r="A1" s="3" t="str">
        <x:v>PIPELINE B2B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6" customHeight="1">
      <x:c r="A2" s="6" t="str">
        <x:v>Una oportunidad = una línea prioritaria con siguiente acción, fecha y criterio de avance.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4" ht="28" customHeight="1">
      <x:c r="A4" s="16" t="str">
        <x:v>Oportunidad ID</x:v>
      </x:c>
      <x:c r="B4" s="22" t="str">
        <x:v>Empresa</x:v>
      </x:c>
      <x:c r="C4" s="22" t="str">
        <x:v>Vertical</x:v>
      </x:c>
      <x:c r="D4" s="22" t="str">
        <x:v>Línea prioritaria</x:v>
      </x:c>
      <x:c r="E4" s="22" t="str">
        <x:v>Fuente</x:v>
      </x:c>
      <x:c r="F4" s="22" t="str">
        <x:v>Etapa</x:v>
      </x:c>
      <x:c r="G4" s="22" t="str">
        <x:v>Prioridad</x:v>
      </x:c>
      <x:c r="H4" s="22" t="str">
        <x:v>Responsable</x:v>
      </x:c>
      <x:c r="I4" s="22" t="str">
        <x:v>Próxima acción</x:v>
      </x:c>
      <x:c r="J4" s="22" t="str">
        <x:v>Fecha próxima</x:v>
      </x:c>
      <x:c r="K4" s="22" t="str">
        <x:v>Decisor</x:v>
      </x:c>
      <x:c r="L4" s="22" t="str">
        <x:v>Valor estimado</x:v>
      </x:c>
      <x:c r="M4" s="22" t="str">
        <x:v>Probabilidad</x:v>
      </x:c>
      <x:c r="N4" s="22" t="str">
        <x:v>Última nota</x:v>
      </x:c>
      <x:c r="O4" s="17" t="str">
        <x:v>Motivo pérdida / bloqueo</x:v>
      </x:c>
    </x:row>
    <x:row r="5">
      <x:c r="A5" s="55" t="str">
        <x:v>EJ-OP-001</x:v>
      </x:c>
      <x:c r="B5" s="56" t="str">
        <x:v>EJEMPLO - BORRAR · Empresa demostración</x:v>
      </x:c>
      <x:c r="C5" s="56" t="str">
        <x:v>Reformas de alto valor</x:v>
      </x:c>
      <x:c r="D5" s="56" t="str">
        <x:v>Reforma integral</x:v>
      </x:c>
      <x:c r="E5" s="56" t="str">
        <x:v>EJEMPLO</x:v>
      </x:c>
      <x:c r="F5" s="56" t="str">
        <x:v>Contactado</x:v>
      </x:c>
      <x:c r="G5" s="56" t="str">
        <x:v>Media</x:v>
      </x:c>
      <x:c r="H5" s="56" t="str">
        <x:v>Caller</x:v>
      </x:c>
      <x:c r="I5" s="56" t="str">
        <x:v>Segundo intento</x:v>
      </x:c>
      <x:c r="J5" s="64" t="n">
        <x:v>46269</x:v>
      </x:c>
      <x:c r="K5" s="56" t="str">
        <x:v>Por validar</x:v>
      </x:c>
      <x:c r="L5" s="67"/>
      <x:c r="M5" s="70" t="n">
        <x:v>0.1</x:v>
      </x:c>
      <x:c r="N5" s="56" t="str">
        <x:v>Registro de demostración; no es cliente real.</x:v>
      </x:c>
      <x:c r="O5" s="57" t="str"/>
    </x:row>
    <x:row r="6">
      <x:c r="A6" s="58"/>
      <x:c r="B6" s="59"/>
      <x:c r="C6" s="59"/>
      <x:c r="D6" s="59"/>
      <x:c r="E6" s="59"/>
      <x:c r="F6" s="59"/>
      <x:c r="G6" s="59"/>
      <x:c r="H6" s="59"/>
      <x:c r="I6" s="59"/>
      <x:c r="J6" s="65"/>
      <x:c r="K6" s="59"/>
      <x:c r="L6" s="68"/>
      <x:c r="M6" s="71"/>
      <x:c r="N6" s="59"/>
      <x:c r="O6" s="60"/>
    </x:row>
    <x:row r="7">
      <x:c r="A7" s="58"/>
      <x:c r="B7" s="59"/>
      <x:c r="C7" s="59"/>
      <x:c r="D7" s="59"/>
      <x:c r="E7" s="59"/>
      <x:c r="F7" s="59"/>
      <x:c r="G7" s="59"/>
      <x:c r="H7" s="59"/>
      <x:c r="I7" s="59"/>
      <x:c r="J7" s="65"/>
      <x:c r="K7" s="59"/>
      <x:c r="L7" s="68"/>
      <x:c r="M7" s="71"/>
      <x:c r="N7" s="59"/>
      <x:c r="O7" s="60"/>
    </x:row>
    <x:row r="8">
      <x:c r="A8" s="58"/>
      <x:c r="B8" s="59"/>
      <x:c r="C8" s="59"/>
      <x:c r="D8" s="59"/>
      <x:c r="E8" s="59"/>
      <x:c r="F8" s="59"/>
      <x:c r="G8" s="59"/>
      <x:c r="H8" s="59"/>
      <x:c r="I8" s="59"/>
      <x:c r="J8" s="65"/>
      <x:c r="K8" s="59"/>
      <x:c r="L8" s="68"/>
      <x:c r="M8" s="71"/>
      <x:c r="N8" s="59"/>
      <x:c r="O8" s="60"/>
    </x:row>
    <x:row r="9">
      <x:c r="A9" s="58"/>
      <x:c r="B9" s="59"/>
      <x:c r="C9" s="59"/>
      <x:c r="D9" s="59"/>
      <x:c r="E9" s="59"/>
      <x:c r="F9" s="59"/>
      <x:c r="G9" s="59"/>
      <x:c r="H9" s="59"/>
      <x:c r="I9" s="59"/>
      <x:c r="J9" s="65"/>
      <x:c r="K9" s="59"/>
      <x:c r="L9" s="68"/>
      <x:c r="M9" s="71"/>
      <x:c r="N9" s="59"/>
      <x:c r="O9" s="60"/>
    </x:row>
    <x:row r="10">
      <x:c r="A10" s="58"/>
      <x:c r="B10" s="59"/>
      <x:c r="C10" s="59"/>
      <x:c r="D10" s="59"/>
      <x:c r="E10" s="59"/>
      <x:c r="F10" s="59"/>
      <x:c r="G10" s="59"/>
      <x:c r="H10" s="59"/>
      <x:c r="I10" s="59"/>
      <x:c r="J10" s="65"/>
      <x:c r="K10" s="59"/>
      <x:c r="L10" s="68"/>
      <x:c r="M10" s="71"/>
      <x:c r="N10" s="59"/>
      <x:c r="O10" s="60"/>
    </x:row>
    <x:row r="11">
      <x:c r="A11" s="58"/>
      <x:c r="B11" s="59"/>
      <x:c r="C11" s="59"/>
      <x:c r="D11" s="59"/>
      <x:c r="E11" s="59"/>
      <x:c r="F11" s="59"/>
      <x:c r="G11" s="59"/>
      <x:c r="H11" s="59"/>
      <x:c r="I11" s="59"/>
      <x:c r="J11" s="65"/>
      <x:c r="K11" s="59"/>
      <x:c r="L11" s="68"/>
      <x:c r="M11" s="71"/>
      <x:c r="N11" s="59"/>
      <x:c r="O11" s="60"/>
    </x:row>
    <x:row r="12">
      <x:c r="A12" s="58"/>
      <x:c r="B12" s="59"/>
      <x:c r="C12" s="59"/>
      <x:c r="D12" s="59"/>
      <x:c r="E12" s="59"/>
      <x:c r="F12" s="59"/>
      <x:c r="G12" s="59"/>
      <x:c r="H12" s="59"/>
      <x:c r="I12" s="59"/>
      <x:c r="J12" s="65"/>
      <x:c r="K12" s="59"/>
      <x:c r="L12" s="68"/>
      <x:c r="M12" s="71"/>
      <x:c r="N12" s="59"/>
      <x:c r="O12" s="60"/>
    </x:row>
    <x:row r="13">
      <x:c r="A13" s="58"/>
      <x:c r="B13" s="59"/>
      <x:c r="C13" s="59"/>
      <x:c r="D13" s="59"/>
      <x:c r="E13" s="59"/>
      <x:c r="F13" s="59"/>
      <x:c r="G13" s="59"/>
      <x:c r="H13" s="59"/>
      <x:c r="I13" s="59"/>
      <x:c r="J13" s="65"/>
      <x:c r="K13" s="59"/>
      <x:c r="L13" s="68"/>
      <x:c r="M13" s="71"/>
      <x:c r="N13" s="59"/>
      <x:c r="O13" s="60"/>
    </x:row>
    <x:row r="14">
      <x:c r="A14" s="58"/>
      <x:c r="B14" s="59"/>
      <x:c r="C14" s="59"/>
      <x:c r="D14" s="59"/>
      <x:c r="E14" s="59"/>
      <x:c r="F14" s="59"/>
      <x:c r="G14" s="59"/>
      <x:c r="H14" s="59"/>
      <x:c r="I14" s="59"/>
      <x:c r="J14" s="65"/>
      <x:c r="K14" s="59"/>
      <x:c r="L14" s="68"/>
      <x:c r="M14" s="71"/>
      <x:c r="N14" s="59"/>
      <x:c r="O14" s="60"/>
    </x:row>
    <x:row r="15">
      <x:c r="A15" s="58"/>
      <x:c r="B15" s="59"/>
      <x:c r="C15" s="59"/>
      <x:c r="D15" s="59"/>
      <x:c r="E15" s="59"/>
      <x:c r="F15" s="59"/>
      <x:c r="G15" s="59"/>
      <x:c r="H15" s="59"/>
      <x:c r="I15" s="59"/>
      <x:c r="J15" s="65"/>
      <x:c r="K15" s="59"/>
      <x:c r="L15" s="68"/>
      <x:c r="M15" s="71"/>
      <x:c r="N15" s="59"/>
      <x:c r="O15" s="60"/>
    </x:row>
    <x:row r="16">
      <x:c r="A16" s="58"/>
      <x:c r="B16" s="59"/>
      <x:c r="C16" s="59"/>
      <x:c r="D16" s="59"/>
      <x:c r="E16" s="59"/>
      <x:c r="F16" s="59"/>
      <x:c r="G16" s="59"/>
      <x:c r="H16" s="59"/>
      <x:c r="I16" s="59"/>
      <x:c r="J16" s="65"/>
      <x:c r="K16" s="59"/>
      <x:c r="L16" s="68"/>
      <x:c r="M16" s="71"/>
      <x:c r="N16" s="59"/>
      <x:c r="O16" s="60"/>
    </x:row>
    <x:row r="17">
      <x:c r="A17" s="58"/>
      <x:c r="B17" s="59"/>
      <x:c r="C17" s="59"/>
      <x:c r="D17" s="59"/>
      <x:c r="E17" s="59"/>
      <x:c r="F17" s="59"/>
      <x:c r="G17" s="59"/>
      <x:c r="H17" s="59"/>
      <x:c r="I17" s="59"/>
      <x:c r="J17" s="65"/>
      <x:c r="K17" s="59"/>
      <x:c r="L17" s="68"/>
      <x:c r="M17" s="71"/>
      <x:c r="N17" s="59"/>
      <x:c r="O17" s="60"/>
    </x:row>
    <x:row r="18">
      <x:c r="A18" s="58"/>
      <x:c r="B18" s="59"/>
      <x:c r="C18" s="59"/>
      <x:c r="D18" s="59"/>
      <x:c r="E18" s="59"/>
      <x:c r="F18" s="59"/>
      <x:c r="G18" s="59"/>
      <x:c r="H18" s="59"/>
      <x:c r="I18" s="59"/>
      <x:c r="J18" s="65"/>
      <x:c r="K18" s="59"/>
      <x:c r="L18" s="68"/>
      <x:c r="M18" s="71"/>
      <x:c r="N18" s="59"/>
      <x:c r="O18" s="60"/>
    </x:row>
    <x:row r="19">
      <x:c r="A19" s="58"/>
      <x:c r="B19" s="59"/>
      <x:c r="C19" s="59"/>
      <x:c r="D19" s="59"/>
      <x:c r="E19" s="59"/>
      <x:c r="F19" s="59"/>
      <x:c r="G19" s="59"/>
      <x:c r="H19" s="59"/>
      <x:c r="I19" s="59"/>
      <x:c r="J19" s="65"/>
      <x:c r="K19" s="59"/>
      <x:c r="L19" s="68"/>
      <x:c r="M19" s="71"/>
      <x:c r="N19" s="59"/>
      <x:c r="O19" s="60"/>
    </x:row>
    <x:row r="20">
      <x:c r="A20" s="58"/>
      <x:c r="B20" s="59"/>
      <x:c r="C20" s="59"/>
      <x:c r="D20" s="59"/>
      <x:c r="E20" s="59"/>
      <x:c r="F20" s="59"/>
      <x:c r="G20" s="59"/>
      <x:c r="H20" s="59"/>
      <x:c r="I20" s="59"/>
      <x:c r="J20" s="65"/>
      <x:c r="K20" s="59"/>
      <x:c r="L20" s="68"/>
      <x:c r="M20" s="71"/>
      <x:c r="N20" s="59"/>
      <x:c r="O20" s="60"/>
    </x:row>
    <x:row r="21">
      <x:c r="A21" s="58"/>
      <x:c r="B21" s="59"/>
      <x:c r="C21" s="59"/>
      <x:c r="D21" s="59"/>
      <x:c r="E21" s="59"/>
      <x:c r="F21" s="59"/>
      <x:c r="G21" s="59"/>
      <x:c r="H21" s="59"/>
      <x:c r="I21" s="59"/>
      <x:c r="J21" s="65"/>
      <x:c r="K21" s="59"/>
      <x:c r="L21" s="68"/>
      <x:c r="M21" s="71"/>
      <x:c r="N21" s="59"/>
      <x:c r="O21" s="60"/>
    </x:row>
    <x:row r="22">
      <x:c r="A22" s="58"/>
      <x:c r="B22" s="59"/>
      <x:c r="C22" s="59"/>
      <x:c r="D22" s="59"/>
      <x:c r="E22" s="59"/>
      <x:c r="F22" s="59"/>
      <x:c r="G22" s="59"/>
      <x:c r="H22" s="59"/>
      <x:c r="I22" s="59"/>
      <x:c r="J22" s="65"/>
      <x:c r="K22" s="59"/>
      <x:c r="L22" s="68"/>
      <x:c r="M22" s="71"/>
      <x:c r="N22" s="59"/>
      <x:c r="O22" s="60"/>
    </x:row>
    <x:row r="23">
      <x:c r="A23" s="58"/>
      <x:c r="B23" s="59"/>
      <x:c r="C23" s="59"/>
      <x:c r="D23" s="59"/>
      <x:c r="E23" s="59"/>
      <x:c r="F23" s="59"/>
      <x:c r="G23" s="59"/>
      <x:c r="H23" s="59"/>
      <x:c r="I23" s="59"/>
      <x:c r="J23" s="65"/>
      <x:c r="K23" s="59"/>
      <x:c r="L23" s="68"/>
      <x:c r="M23" s="71"/>
      <x:c r="N23" s="59"/>
      <x:c r="O23" s="60"/>
    </x:row>
    <x:row r="24">
      <x:c r="A24" s="58"/>
      <x:c r="B24" s="59"/>
      <x:c r="C24" s="59"/>
      <x:c r="D24" s="59"/>
      <x:c r="E24" s="59"/>
      <x:c r="F24" s="59"/>
      <x:c r="G24" s="59"/>
      <x:c r="H24" s="59"/>
      <x:c r="I24" s="59"/>
      <x:c r="J24" s="65"/>
      <x:c r="K24" s="59"/>
      <x:c r="L24" s="68"/>
      <x:c r="M24" s="71"/>
      <x:c r="N24" s="59"/>
      <x:c r="O24" s="60"/>
    </x:row>
    <x:row r="25">
      <x:c r="A25" s="58"/>
      <x:c r="B25" s="59"/>
      <x:c r="C25" s="59"/>
      <x:c r="D25" s="59"/>
      <x:c r="E25" s="59"/>
      <x:c r="F25" s="59"/>
      <x:c r="G25" s="59"/>
      <x:c r="H25" s="59"/>
      <x:c r="I25" s="59"/>
      <x:c r="J25" s="65"/>
      <x:c r="K25" s="59"/>
      <x:c r="L25" s="68"/>
      <x:c r="M25" s="71"/>
      <x:c r="N25" s="59"/>
      <x:c r="O25" s="60"/>
    </x:row>
    <x:row r="26">
      <x:c r="A26" s="58"/>
      <x:c r="B26" s="59"/>
      <x:c r="C26" s="59"/>
      <x:c r="D26" s="59"/>
      <x:c r="E26" s="59"/>
      <x:c r="F26" s="59"/>
      <x:c r="G26" s="59"/>
      <x:c r="H26" s="59"/>
      <x:c r="I26" s="59"/>
      <x:c r="J26" s="65"/>
      <x:c r="K26" s="59"/>
      <x:c r="L26" s="68"/>
      <x:c r="M26" s="71"/>
      <x:c r="N26" s="59"/>
      <x:c r="O26" s="60"/>
    </x:row>
    <x:row r="27">
      <x:c r="A27" s="58"/>
      <x:c r="B27" s="59"/>
      <x:c r="C27" s="59"/>
      <x:c r="D27" s="59"/>
      <x:c r="E27" s="59"/>
      <x:c r="F27" s="59"/>
      <x:c r="G27" s="59"/>
      <x:c r="H27" s="59"/>
      <x:c r="I27" s="59"/>
      <x:c r="J27" s="65"/>
      <x:c r="K27" s="59"/>
      <x:c r="L27" s="68"/>
      <x:c r="M27" s="71"/>
      <x:c r="N27" s="59"/>
      <x:c r="O27" s="60"/>
    </x:row>
    <x:row r="28">
      <x:c r="A28" s="58"/>
      <x:c r="B28" s="59"/>
      <x:c r="C28" s="59"/>
      <x:c r="D28" s="59"/>
      <x:c r="E28" s="59"/>
      <x:c r="F28" s="59"/>
      <x:c r="G28" s="59"/>
      <x:c r="H28" s="59"/>
      <x:c r="I28" s="59"/>
      <x:c r="J28" s="65"/>
      <x:c r="K28" s="59"/>
      <x:c r="L28" s="68"/>
      <x:c r="M28" s="71"/>
      <x:c r="N28" s="59"/>
      <x:c r="O28" s="60"/>
    </x:row>
    <x:row r="29">
      <x:c r="A29" s="58"/>
      <x:c r="B29" s="59"/>
      <x:c r="C29" s="59"/>
      <x:c r="D29" s="59"/>
      <x:c r="E29" s="59"/>
      <x:c r="F29" s="59"/>
      <x:c r="G29" s="59"/>
      <x:c r="H29" s="59"/>
      <x:c r="I29" s="59"/>
      <x:c r="J29" s="65"/>
      <x:c r="K29" s="59"/>
      <x:c r="L29" s="68"/>
      <x:c r="M29" s="71"/>
      <x:c r="N29" s="59"/>
      <x:c r="O29" s="60"/>
    </x:row>
    <x:row r="30">
      <x:c r="A30" s="58"/>
      <x:c r="B30" s="59"/>
      <x:c r="C30" s="59"/>
      <x:c r="D30" s="59"/>
      <x:c r="E30" s="59"/>
      <x:c r="F30" s="59"/>
      <x:c r="G30" s="59"/>
      <x:c r="H30" s="59"/>
      <x:c r="I30" s="59"/>
      <x:c r="J30" s="65"/>
      <x:c r="K30" s="59"/>
      <x:c r="L30" s="68"/>
      <x:c r="M30" s="71"/>
      <x:c r="N30" s="59"/>
      <x:c r="O30" s="60"/>
    </x:row>
    <x:row r="31">
      <x:c r="A31" s="58"/>
      <x:c r="B31" s="59"/>
      <x:c r="C31" s="59"/>
      <x:c r="D31" s="59"/>
      <x:c r="E31" s="59"/>
      <x:c r="F31" s="59"/>
      <x:c r="G31" s="59"/>
      <x:c r="H31" s="59"/>
      <x:c r="I31" s="59"/>
      <x:c r="J31" s="65"/>
      <x:c r="K31" s="59"/>
      <x:c r="L31" s="68"/>
      <x:c r="M31" s="71"/>
      <x:c r="N31" s="59"/>
      <x:c r="O31" s="60"/>
    </x:row>
    <x:row r="32">
      <x:c r="A32" s="58"/>
      <x:c r="B32" s="59"/>
      <x:c r="C32" s="59"/>
      <x:c r="D32" s="59"/>
      <x:c r="E32" s="59"/>
      <x:c r="F32" s="59"/>
      <x:c r="G32" s="59"/>
      <x:c r="H32" s="59"/>
      <x:c r="I32" s="59"/>
      <x:c r="J32" s="65"/>
      <x:c r="K32" s="59"/>
      <x:c r="L32" s="68"/>
      <x:c r="M32" s="71"/>
      <x:c r="N32" s="59"/>
      <x:c r="O32" s="60"/>
    </x:row>
    <x:row r="33">
      <x:c r="A33" s="58"/>
      <x:c r="B33" s="59"/>
      <x:c r="C33" s="59"/>
      <x:c r="D33" s="59"/>
      <x:c r="E33" s="59"/>
      <x:c r="F33" s="59"/>
      <x:c r="G33" s="59"/>
      <x:c r="H33" s="59"/>
      <x:c r="I33" s="59"/>
      <x:c r="J33" s="65"/>
      <x:c r="K33" s="59"/>
      <x:c r="L33" s="68"/>
      <x:c r="M33" s="71"/>
      <x:c r="N33" s="59"/>
      <x:c r="O33" s="60"/>
    </x:row>
    <x:row r="34">
      <x:c r="A34" s="58"/>
      <x:c r="B34" s="59"/>
      <x:c r="C34" s="59"/>
      <x:c r="D34" s="59"/>
      <x:c r="E34" s="59"/>
      <x:c r="F34" s="59"/>
      <x:c r="G34" s="59"/>
      <x:c r="H34" s="59"/>
      <x:c r="I34" s="59"/>
      <x:c r="J34" s="65"/>
      <x:c r="K34" s="59"/>
      <x:c r="L34" s="68"/>
      <x:c r="M34" s="71"/>
      <x:c r="N34" s="59"/>
      <x:c r="O34" s="60"/>
    </x:row>
    <x:row r="35">
      <x:c r="A35" s="58"/>
      <x:c r="B35" s="59"/>
      <x:c r="C35" s="59"/>
      <x:c r="D35" s="59"/>
      <x:c r="E35" s="59"/>
      <x:c r="F35" s="59"/>
      <x:c r="G35" s="59"/>
      <x:c r="H35" s="59"/>
      <x:c r="I35" s="59"/>
      <x:c r="J35" s="65"/>
      <x:c r="K35" s="59"/>
      <x:c r="L35" s="68"/>
      <x:c r="M35" s="71"/>
      <x:c r="N35" s="59"/>
      <x:c r="O35" s="60"/>
    </x:row>
    <x:row r="36">
      <x:c r="A36" s="58"/>
      <x:c r="B36" s="59"/>
      <x:c r="C36" s="59"/>
      <x:c r="D36" s="59"/>
      <x:c r="E36" s="59"/>
      <x:c r="F36" s="59"/>
      <x:c r="G36" s="59"/>
      <x:c r="H36" s="59"/>
      <x:c r="I36" s="59"/>
      <x:c r="J36" s="65"/>
      <x:c r="K36" s="59"/>
      <x:c r="L36" s="68"/>
      <x:c r="M36" s="71"/>
      <x:c r="N36" s="59"/>
      <x:c r="O36" s="60"/>
    </x:row>
    <x:row r="37">
      <x:c r="A37" s="58"/>
      <x:c r="B37" s="59"/>
      <x:c r="C37" s="59"/>
      <x:c r="D37" s="59"/>
      <x:c r="E37" s="59"/>
      <x:c r="F37" s="59"/>
      <x:c r="G37" s="59"/>
      <x:c r="H37" s="59"/>
      <x:c r="I37" s="59"/>
      <x:c r="J37" s="65"/>
      <x:c r="K37" s="59"/>
      <x:c r="L37" s="68"/>
      <x:c r="M37" s="71"/>
      <x:c r="N37" s="59"/>
      <x:c r="O37" s="60"/>
    </x:row>
    <x:row r="38">
      <x:c r="A38" s="58"/>
      <x:c r="B38" s="59"/>
      <x:c r="C38" s="59"/>
      <x:c r="D38" s="59"/>
      <x:c r="E38" s="59"/>
      <x:c r="F38" s="59"/>
      <x:c r="G38" s="59"/>
      <x:c r="H38" s="59"/>
      <x:c r="I38" s="59"/>
      <x:c r="J38" s="65"/>
      <x:c r="K38" s="59"/>
      <x:c r="L38" s="68"/>
      <x:c r="M38" s="71"/>
      <x:c r="N38" s="59"/>
      <x:c r="O38" s="60"/>
    </x:row>
    <x:row r="39">
      <x:c r="A39" s="58"/>
      <x:c r="B39" s="59"/>
      <x:c r="C39" s="59"/>
      <x:c r="D39" s="59"/>
      <x:c r="E39" s="59"/>
      <x:c r="F39" s="59"/>
      <x:c r="G39" s="59"/>
      <x:c r="H39" s="59"/>
      <x:c r="I39" s="59"/>
      <x:c r="J39" s="65"/>
      <x:c r="K39" s="59"/>
      <x:c r="L39" s="68"/>
      <x:c r="M39" s="71"/>
      <x:c r="N39" s="59"/>
      <x:c r="O39" s="60"/>
    </x:row>
    <x:row r="40">
      <x:c r="A40" s="58"/>
      <x:c r="B40" s="59"/>
      <x:c r="C40" s="59"/>
      <x:c r="D40" s="59"/>
      <x:c r="E40" s="59"/>
      <x:c r="F40" s="59"/>
      <x:c r="G40" s="59"/>
      <x:c r="H40" s="59"/>
      <x:c r="I40" s="59"/>
      <x:c r="J40" s="65"/>
      <x:c r="K40" s="59"/>
      <x:c r="L40" s="68"/>
      <x:c r="M40" s="71"/>
      <x:c r="N40" s="59"/>
      <x:c r="O40" s="60"/>
    </x:row>
    <x:row r="41">
      <x:c r="A41" s="58"/>
      <x:c r="B41" s="59"/>
      <x:c r="C41" s="59"/>
      <x:c r="D41" s="59"/>
      <x:c r="E41" s="59"/>
      <x:c r="F41" s="59"/>
      <x:c r="G41" s="59"/>
      <x:c r="H41" s="59"/>
      <x:c r="I41" s="59"/>
      <x:c r="J41" s="65"/>
      <x:c r="K41" s="59"/>
      <x:c r="L41" s="68"/>
      <x:c r="M41" s="71"/>
      <x:c r="N41" s="59"/>
      <x:c r="O41" s="60"/>
    </x:row>
    <x:row r="42">
      <x:c r="A42" s="58"/>
      <x:c r="B42" s="59"/>
      <x:c r="C42" s="59"/>
      <x:c r="D42" s="59"/>
      <x:c r="E42" s="59"/>
      <x:c r="F42" s="59"/>
      <x:c r="G42" s="59"/>
      <x:c r="H42" s="59"/>
      <x:c r="I42" s="59"/>
      <x:c r="J42" s="65"/>
      <x:c r="K42" s="59"/>
      <x:c r="L42" s="68"/>
      <x:c r="M42" s="71"/>
      <x:c r="N42" s="59"/>
      <x:c r="O42" s="60"/>
    </x:row>
    <x:row r="43">
      <x:c r="A43" s="58"/>
      <x:c r="B43" s="59"/>
      <x:c r="C43" s="59"/>
      <x:c r="D43" s="59"/>
      <x:c r="E43" s="59"/>
      <x:c r="F43" s="59"/>
      <x:c r="G43" s="59"/>
      <x:c r="H43" s="59"/>
      <x:c r="I43" s="59"/>
      <x:c r="J43" s="65"/>
      <x:c r="K43" s="59"/>
      <x:c r="L43" s="68"/>
      <x:c r="M43" s="71"/>
      <x:c r="N43" s="59"/>
      <x:c r="O43" s="60"/>
    </x:row>
    <x:row r="44">
      <x:c r="A44" s="58"/>
      <x:c r="B44" s="59"/>
      <x:c r="C44" s="59"/>
      <x:c r="D44" s="59"/>
      <x:c r="E44" s="59"/>
      <x:c r="F44" s="59"/>
      <x:c r="G44" s="59"/>
      <x:c r="H44" s="59"/>
      <x:c r="I44" s="59"/>
      <x:c r="J44" s="65"/>
      <x:c r="K44" s="59"/>
      <x:c r="L44" s="68"/>
      <x:c r="M44" s="71"/>
      <x:c r="N44" s="59"/>
      <x:c r="O44" s="60"/>
    </x:row>
    <x:row r="45">
      <x:c r="A45" s="58"/>
      <x:c r="B45" s="59"/>
      <x:c r="C45" s="59"/>
      <x:c r="D45" s="59"/>
      <x:c r="E45" s="59"/>
      <x:c r="F45" s="59"/>
      <x:c r="G45" s="59"/>
      <x:c r="H45" s="59"/>
      <x:c r="I45" s="59"/>
      <x:c r="J45" s="65"/>
      <x:c r="K45" s="59"/>
      <x:c r="L45" s="68"/>
      <x:c r="M45" s="71"/>
      <x:c r="N45" s="59"/>
      <x:c r="O45" s="60"/>
    </x:row>
    <x:row r="46">
      <x:c r="A46" s="58"/>
      <x:c r="B46" s="59"/>
      <x:c r="C46" s="59"/>
      <x:c r="D46" s="59"/>
      <x:c r="E46" s="59"/>
      <x:c r="F46" s="59"/>
      <x:c r="G46" s="59"/>
      <x:c r="H46" s="59"/>
      <x:c r="I46" s="59"/>
      <x:c r="J46" s="65"/>
      <x:c r="K46" s="59"/>
      <x:c r="L46" s="68"/>
      <x:c r="M46" s="71"/>
      <x:c r="N46" s="59"/>
      <x:c r="O46" s="60"/>
    </x:row>
    <x:row r="47">
      <x:c r="A47" s="58"/>
      <x:c r="B47" s="59"/>
      <x:c r="C47" s="59"/>
      <x:c r="D47" s="59"/>
      <x:c r="E47" s="59"/>
      <x:c r="F47" s="59"/>
      <x:c r="G47" s="59"/>
      <x:c r="H47" s="59"/>
      <x:c r="I47" s="59"/>
      <x:c r="J47" s="65"/>
      <x:c r="K47" s="59"/>
      <x:c r="L47" s="68"/>
      <x:c r="M47" s="71"/>
      <x:c r="N47" s="59"/>
      <x:c r="O47" s="60"/>
    </x:row>
    <x:row r="48">
      <x:c r="A48" s="58"/>
      <x:c r="B48" s="59"/>
      <x:c r="C48" s="59"/>
      <x:c r="D48" s="59"/>
      <x:c r="E48" s="59"/>
      <x:c r="F48" s="59"/>
      <x:c r="G48" s="59"/>
      <x:c r="H48" s="59"/>
      <x:c r="I48" s="59"/>
      <x:c r="J48" s="65"/>
      <x:c r="K48" s="59"/>
      <x:c r="L48" s="68"/>
      <x:c r="M48" s="71"/>
      <x:c r="N48" s="59"/>
      <x:c r="O48" s="60"/>
    </x:row>
    <x:row r="49">
      <x:c r="A49" s="58"/>
      <x:c r="B49" s="59"/>
      <x:c r="C49" s="59"/>
      <x:c r="D49" s="59"/>
      <x:c r="E49" s="59"/>
      <x:c r="F49" s="59"/>
      <x:c r="G49" s="59"/>
      <x:c r="H49" s="59"/>
      <x:c r="I49" s="59"/>
      <x:c r="J49" s="65"/>
      <x:c r="K49" s="59"/>
      <x:c r="L49" s="68"/>
      <x:c r="M49" s="71"/>
      <x:c r="N49" s="59"/>
      <x:c r="O49" s="60"/>
    </x:row>
    <x:row r="50">
      <x:c r="A50" s="58"/>
      <x:c r="B50" s="59"/>
      <x:c r="C50" s="59"/>
      <x:c r="D50" s="59"/>
      <x:c r="E50" s="59"/>
      <x:c r="F50" s="59"/>
      <x:c r="G50" s="59"/>
      <x:c r="H50" s="59"/>
      <x:c r="I50" s="59"/>
      <x:c r="J50" s="65"/>
      <x:c r="K50" s="59"/>
      <x:c r="L50" s="68"/>
      <x:c r="M50" s="71"/>
      <x:c r="N50" s="59"/>
      <x:c r="O50" s="60"/>
    </x:row>
    <x:row r="51">
      <x:c r="A51" s="58"/>
      <x:c r="B51" s="59"/>
      <x:c r="C51" s="59"/>
      <x:c r="D51" s="59"/>
      <x:c r="E51" s="59"/>
      <x:c r="F51" s="59"/>
      <x:c r="G51" s="59"/>
      <x:c r="H51" s="59"/>
      <x:c r="I51" s="59"/>
      <x:c r="J51" s="65"/>
      <x:c r="K51" s="59"/>
      <x:c r="L51" s="68"/>
      <x:c r="M51" s="71"/>
      <x:c r="N51" s="59"/>
      <x:c r="O51" s="60"/>
    </x:row>
    <x:row r="52">
      <x:c r="A52" s="58"/>
      <x:c r="B52" s="59"/>
      <x:c r="C52" s="59"/>
      <x:c r="D52" s="59"/>
      <x:c r="E52" s="59"/>
      <x:c r="F52" s="59"/>
      <x:c r="G52" s="59"/>
      <x:c r="H52" s="59"/>
      <x:c r="I52" s="59"/>
      <x:c r="J52" s="65"/>
      <x:c r="K52" s="59"/>
      <x:c r="L52" s="68"/>
      <x:c r="M52" s="71"/>
      <x:c r="N52" s="59"/>
      <x:c r="O52" s="60"/>
    </x:row>
    <x:row r="53">
      <x:c r="A53" s="58"/>
      <x:c r="B53" s="59"/>
      <x:c r="C53" s="59"/>
      <x:c r="D53" s="59"/>
      <x:c r="E53" s="59"/>
      <x:c r="F53" s="59"/>
      <x:c r="G53" s="59"/>
      <x:c r="H53" s="59"/>
      <x:c r="I53" s="59"/>
      <x:c r="J53" s="65"/>
      <x:c r="K53" s="59"/>
      <x:c r="L53" s="68"/>
      <x:c r="M53" s="71"/>
      <x:c r="N53" s="59"/>
      <x:c r="O53" s="60"/>
    </x:row>
    <x:row r="54">
      <x:c r="A54" s="58"/>
      <x:c r="B54" s="59"/>
      <x:c r="C54" s="59"/>
      <x:c r="D54" s="59"/>
      <x:c r="E54" s="59"/>
      <x:c r="F54" s="59"/>
      <x:c r="G54" s="59"/>
      <x:c r="H54" s="59"/>
      <x:c r="I54" s="59"/>
      <x:c r="J54" s="65"/>
      <x:c r="K54" s="59"/>
      <x:c r="L54" s="68"/>
      <x:c r="M54" s="71"/>
      <x:c r="N54" s="59"/>
      <x:c r="O54" s="60"/>
    </x:row>
    <x:row r="55">
      <x:c r="A55" s="58"/>
      <x:c r="B55" s="59"/>
      <x:c r="C55" s="59"/>
      <x:c r="D55" s="59"/>
      <x:c r="E55" s="59"/>
      <x:c r="F55" s="59"/>
      <x:c r="G55" s="59"/>
      <x:c r="H55" s="59"/>
      <x:c r="I55" s="59"/>
      <x:c r="J55" s="65"/>
      <x:c r="K55" s="59"/>
      <x:c r="L55" s="68"/>
      <x:c r="M55" s="71"/>
      <x:c r="N55" s="59"/>
      <x:c r="O55" s="60"/>
    </x:row>
    <x:row r="56">
      <x:c r="A56" s="58"/>
      <x:c r="B56" s="59"/>
      <x:c r="C56" s="59"/>
      <x:c r="D56" s="59"/>
      <x:c r="E56" s="59"/>
      <x:c r="F56" s="59"/>
      <x:c r="G56" s="59"/>
      <x:c r="H56" s="59"/>
      <x:c r="I56" s="59"/>
      <x:c r="J56" s="65"/>
      <x:c r="K56" s="59"/>
      <x:c r="L56" s="68"/>
      <x:c r="M56" s="71"/>
      <x:c r="N56" s="59"/>
      <x:c r="O56" s="60"/>
    </x:row>
    <x:row r="57">
      <x:c r="A57" s="58"/>
      <x:c r="B57" s="59"/>
      <x:c r="C57" s="59"/>
      <x:c r="D57" s="59"/>
      <x:c r="E57" s="59"/>
      <x:c r="F57" s="59"/>
      <x:c r="G57" s="59"/>
      <x:c r="H57" s="59"/>
      <x:c r="I57" s="59"/>
      <x:c r="J57" s="65"/>
      <x:c r="K57" s="59"/>
      <x:c r="L57" s="68"/>
      <x:c r="M57" s="71"/>
      <x:c r="N57" s="59"/>
      <x:c r="O57" s="60"/>
    </x:row>
    <x:row r="58">
      <x:c r="A58" s="58"/>
      <x:c r="B58" s="59"/>
      <x:c r="C58" s="59"/>
      <x:c r="D58" s="59"/>
      <x:c r="E58" s="59"/>
      <x:c r="F58" s="59"/>
      <x:c r="G58" s="59"/>
      <x:c r="H58" s="59"/>
      <x:c r="I58" s="59"/>
      <x:c r="J58" s="65"/>
      <x:c r="K58" s="59"/>
      <x:c r="L58" s="68"/>
      <x:c r="M58" s="71"/>
      <x:c r="N58" s="59"/>
      <x:c r="O58" s="60"/>
    </x:row>
    <x:row r="59">
      <x:c r="A59" s="58"/>
      <x:c r="B59" s="59"/>
      <x:c r="C59" s="59"/>
      <x:c r="D59" s="59"/>
      <x:c r="E59" s="59"/>
      <x:c r="F59" s="59"/>
      <x:c r="G59" s="59"/>
      <x:c r="H59" s="59"/>
      <x:c r="I59" s="59"/>
      <x:c r="J59" s="65"/>
      <x:c r="K59" s="59"/>
      <x:c r="L59" s="68"/>
      <x:c r="M59" s="71"/>
      <x:c r="N59" s="59"/>
      <x:c r="O59" s="60"/>
    </x:row>
    <x:row r="60">
      <x:c r="A60" s="58"/>
      <x:c r="B60" s="59"/>
      <x:c r="C60" s="59"/>
      <x:c r="D60" s="59"/>
      <x:c r="E60" s="59"/>
      <x:c r="F60" s="59"/>
      <x:c r="G60" s="59"/>
      <x:c r="H60" s="59"/>
      <x:c r="I60" s="59"/>
      <x:c r="J60" s="65"/>
      <x:c r="K60" s="59"/>
      <x:c r="L60" s="68"/>
      <x:c r="M60" s="71"/>
      <x:c r="N60" s="59"/>
      <x:c r="O60" s="60"/>
    </x:row>
    <x:row r="61">
      <x:c r="A61" s="58"/>
      <x:c r="B61" s="59"/>
      <x:c r="C61" s="59"/>
      <x:c r="D61" s="59"/>
      <x:c r="E61" s="59"/>
      <x:c r="F61" s="59"/>
      <x:c r="G61" s="59"/>
      <x:c r="H61" s="59"/>
      <x:c r="I61" s="59"/>
      <x:c r="J61" s="65"/>
      <x:c r="K61" s="59"/>
      <x:c r="L61" s="68"/>
      <x:c r="M61" s="71"/>
      <x:c r="N61" s="59"/>
      <x:c r="O61" s="60"/>
    </x:row>
    <x:row r="62">
      <x:c r="A62" s="58"/>
      <x:c r="B62" s="59"/>
      <x:c r="C62" s="59"/>
      <x:c r="D62" s="59"/>
      <x:c r="E62" s="59"/>
      <x:c r="F62" s="59"/>
      <x:c r="G62" s="59"/>
      <x:c r="H62" s="59"/>
      <x:c r="I62" s="59"/>
      <x:c r="J62" s="65"/>
      <x:c r="K62" s="59"/>
      <x:c r="L62" s="68"/>
      <x:c r="M62" s="71"/>
      <x:c r="N62" s="59"/>
      <x:c r="O62" s="60"/>
    </x:row>
    <x:row r="63">
      <x:c r="A63" s="58"/>
      <x:c r="B63" s="59"/>
      <x:c r="C63" s="59"/>
      <x:c r="D63" s="59"/>
      <x:c r="E63" s="59"/>
      <x:c r="F63" s="59"/>
      <x:c r="G63" s="59"/>
      <x:c r="H63" s="59"/>
      <x:c r="I63" s="59"/>
      <x:c r="J63" s="65"/>
      <x:c r="K63" s="59"/>
      <x:c r="L63" s="68"/>
      <x:c r="M63" s="71"/>
      <x:c r="N63" s="59"/>
      <x:c r="O63" s="60"/>
    </x:row>
    <x:row r="64">
      <x:c r="A64" s="58"/>
      <x:c r="B64" s="59"/>
      <x:c r="C64" s="59"/>
      <x:c r="D64" s="59"/>
      <x:c r="E64" s="59"/>
      <x:c r="F64" s="59"/>
      <x:c r="G64" s="59"/>
      <x:c r="H64" s="59"/>
      <x:c r="I64" s="59"/>
      <x:c r="J64" s="65"/>
      <x:c r="K64" s="59"/>
      <x:c r="L64" s="68"/>
      <x:c r="M64" s="71"/>
      <x:c r="N64" s="59"/>
      <x:c r="O64" s="60"/>
    </x:row>
    <x:row r="65">
      <x:c r="A65" s="58"/>
      <x:c r="B65" s="59"/>
      <x:c r="C65" s="59"/>
      <x:c r="D65" s="59"/>
      <x:c r="E65" s="59"/>
      <x:c r="F65" s="59"/>
      <x:c r="G65" s="59"/>
      <x:c r="H65" s="59"/>
      <x:c r="I65" s="59"/>
      <x:c r="J65" s="65"/>
      <x:c r="K65" s="59"/>
      <x:c r="L65" s="68"/>
      <x:c r="M65" s="71"/>
      <x:c r="N65" s="59"/>
      <x:c r="O65" s="60"/>
    </x:row>
    <x:row r="66">
      <x:c r="A66" s="58"/>
      <x:c r="B66" s="59"/>
      <x:c r="C66" s="59"/>
      <x:c r="D66" s="59"/>
      <x:c r="E66" s="59"/>
      <x:c r="F66" s="59"/>
      <x:c r="G66" s="59"/>
      <x:c r="H66" s="59"/>
      <x:c r="I66" s="59"/>
      <x:c r="J66" s="65"/>
      <x:c r="K66" s="59"/>
      <x:c r="L66" s="68"/>
      <x:c r="M66" s="71"/>
      <x:c r="N66" s="59"/>
      <x:c r="O66" s="60"/>
    </x:row>
    <x:row r="67">
      <x:c r="A67" s="58"/>
      <x:c r="B67" s="59"/>
      <x:c r="C67" s="59"/>
      <x:c r="D67" s="59"/>
      <x:c r="E67" s="59"/>
      <x:c r="F67" s="59"/>
      <x:c r="G67" s="59"/>
      <x:c r="H67" s="59"/>
      <x:c r="I67" s="59"/>
      <x:c r="J67" s="65"/>
      <x:c r="K67" s="59"/>
      <x:c r="L67" s="68"/>
      <x:c r="M67" s="71"/>
      <x:c r="N67" s="59"/>
      <x:c r="O67" s="60"/>
    </x:row>
    <x:row r="68">
      <x:c r="A68" s="58"/>
      <x:c r="B68" s="59"/>
      <x:c r="C68" s="59"/>
      <x:c r="D68" s="59"/>
      <x:c r="E68" s="59"/>
      <x:c r="F68" s="59"/>
      <x:c r="G68" s="59"/>
      <x:c r="H68" s="59"/>
      <x:c r="I68" s="59"/>
      <x:c r="J68" s="65"/>
      <x:c r="K68" s="59"/>
      <x:c r="L68" s="68"/>
      <x:c r="M68" s="71"/>
      <x:c r="N68" s="59"/>
      <x:c r="O68" s="60"/>
    </x:row>
    <x:row r="69">
      <x:c r="A69" s="58"/>
      <x:c r="B69" s="59"/>
      <x:c r="C69" s="59"/>
      <x:c r="D69" s="59"/>
      <x:c r="E69" s="59"/>
      <x:c r="F69" s="59"/>
      <x:c r="G69" s="59"/>
      <x:c r="H69" s="59"/>
      <x:c r="I69" s="59"/>
      <x:c r="J69" s="65"/>
      <x:c r="K69" s="59"/>
      <x:c r="L69" s="68"/>
      <x:c r="M69" s="71"/>
      <x:c r="N69" s="59"/>
      <x:c r="O69" s="60"/>
    </x:row>
    <x:row r="70">
      <x:c r="A70" s="58"/>
      <x:c r="B70" s="59"/>
      <x:c r="C70" s="59"/>
      <x:c r="D70" s="59"/>
      <x:c r="E70" s="59"/>
      <x:c r="F70" s="59"/>
      <x:c r="G70" s="59"/>
      <x:c r="H70" s="59"/>
      <x:c r="I70" s="59"/>
      <x:c r="J70" s="65"/>
      <x:c r="K70" s="59"/>
      <x:c r="L70" s="68"/>
      <x:c r="M70" s="71"/>
      <x:c r="N70" s="59"/>
      <x:c r="O70" s="60"/>
    </x:row>
    <x:row r="71">
      <x:c r="A71" s="58"/>
      <x:c r="B71" s="59"/>
      <x:c r="C71" s="59"/>
      <x:c r="D71" s="59"/>
      <x:c r="E71" s="59"/>
      <x:c r="F71" s="59"/>
      <x:c r="G71" s="59"/>
      <x:c r="H71" s="59"/>
      <x:c r="I71" s="59"/>
      <x:c r="J71" s="65"/>
      <x:c r="K71" s="59"/>
      <x:c r="L71" s="68"/>
      <x:c r="M71" s="71"/>
      <x:c r="N71" s="59"/>
      <x:c r="O71" s="60"/>
    </x:row>
    <x:row r="72">
      <x:c r="A72" s="58"/>
      <x:c r="B72" s="59"/>
      <x:c r="C72" s="59"/>
      <x:c r="D72" s="59"/>
      <x:c r="E72" s="59"/>
      <x:c r="F72" s="59"/>
      <x:c r="G72" s="59"/>
      <x:c r="H72" s="59"/>
      <x:c r="I72" s="59"/>
      <x:c r="J72" s="65"/>
      <x:c r="K72" s="59"/>
      <x:c r="L72" s="68"/>
      <x:c r="M72" s="71"/>
      <x:c r="N72" s="59"/>
      <x:c r="O72" s="60"/>
    </x:row>
    <x:row r="73">
      <x:c r="A73" s="58"/>
      <x:c r="B73" s="59"/>
      <x:c r="C73" s="59"/>
      <x:c r="D73" s="59"/>
      <x:c r="E73" s="59"/>
      <x:c r="F73" s="59"/>
      <x:c r="G73" s="59"/>
      <x:c r="H73" s="59"/>
      <x:c r="I73" s="59"/>
      <x:c r="J73" s="65"/>
      <x:c r="K73" s="59"/>
      <x:c r="L73" s="68"/>
      <x:c r="M73" s="71"/>
      <x:c r="N73" s="59"/>
      <x:c r="O73" s="60"/>
    </x:row>
    <x:row r="74">
      <x:c r="A74" s="58"/>
      <x:c r="B74" s="59"/>
      <x:c r="C74" s="59"/>
      <x:c r="D74" s="59"/>
      <x:c r="E74" s="59"/>
      <x:c r="F74" s="59"/>
      <x:c r="G74" s="59"/>
      <x:c r="H74" s="59"/>
      <x:c r="I74" s="59"/>
      <x:c r="J74" s="65"/>
      <x:c r="K74" s="59"/>
      <x:c r="L74" s="68"/>
      <x:c r="M74" s="71"/>
      <x:c r="N74" s="59"/>
      <x:c r="O74" s="60"/>
    </x:row>
    <x:row r="75">
      <x:c r="A75" s="58"/>
      <x:c r="B75" s="59"/>
      <x:c r="C75" s="59"/>
      <x:c r="D75" s="59"/>
      <x:c r="E75" s="59"/>
      <x:c r="F75" s="59"/>
      <x:c r="G75" s="59"/>
      <x:c r="H75" s="59"/>
      <x:c r="I75" s="59"/>
      <x:c r="J75" s="65"/>
      <x:c r="K75" s="59"/>
      <x:c r="L75" s="68"/>
      <x:c r="M75" s="71"/>
      <x:c r="N75" s="59"/>
      <x:c r="O75" s="60"/>
    </x:row>
    <x:row r="76">
      <x:c r="A76" s="58"/>
      <x:c r="B76" s="59"/>
      <x:c r="C76" s="59"/>
      <x:c r="D76" s="59"/>
      <x:c r="E76" s="59"/>
      <x:c r="F76" s="59"/>
      <x:c r="G76" s="59"/>
      <x:c r="H76" s="59"/>
      <x:c r="I76" s="59"/>
      <x:c r="J76" s="65"/>
      <x:c r="K76" s="59"/>
      <x:c r="L76" s="68"/>
      <x:c r="M76" s="71"/>
      <x:c r="N76" s="59"/>
      <x:c r="O76" s="60"/>
    </x:row>
    <x:row r="77">
      <x:c r="A77" s="58"/>
      <x:c r="B77" s="59"/>
      <x:c r="C77" s="59"/>
      <x:c r="D77" s="59"/>
      <x:c r="E77" s="59"/>
      <x:c r="F77" s="59"/>
      <x:c r="G77" s="59"/>
      <x:c r="H77" s="59"/>
      <x:c r="I77" s="59"/>
      <x:c r="J77" s="65"/>
      <x:c r="K77" s="59"/>
      <x:c r="L77" s="68"/>
      <x:c r="M77" s="71"/>
      <x:c r="N77" s="59"/>
      <x:c r="O77" s="60"/>
    </x:row>
    <x:row r="78">
      <x:c r="A78" s="58"/>
      <x:c r="B78" s="59"/>
      <x:c r="C78" s="59"/>
      <x:c r="D78" s="59"/>
      <x:c r="E78" s="59"/>
      <x:c r="F78" s="59"/>
      <x:c r="G78" s="59"/>
      <x:c r="H78" s="59"/>
      <x:c r="I78" s="59"/>
      <x:c r="J78" s="65"/>
      <x:c r="K78" s="59"/>
      <x:c r="L78" s="68"/>
      <x:c r="M78" s="71"/>
      <x:c r="N78" s="59"/>
      <x:c r="O78" s="60"/>
    </x:row>
    <x:row r="79">
      <x:c r="A79" s="58"/>
      <x:c r="B79" s="59"/>
      <x:c r="C79" s="59"/>
      <x:c r="D79" s="59"/>
      <x:c r="E79" s="59"/>
      <x:c r="F79" s="59"/>
      <x:c r="G79" s="59"/>
      <x:c r="H79" s="59"/>
      <x:c r="I79" s="59"/>
      <x:c r="J79" s="65"/>
      <x:c r="K79" s="59"/>
      <x:c r="L79" s="68"/>
      <x:c r="M79" s="71"/>
      <x:c r="N79" s="59"/>
      <x:c r="O79" s="60"/>
    </x:row>
    <x:row r="80">
      <x:c r="A80" s="58"/>
      <x:c r="B80" s="59"/>
      <x:c r="C80" s="59"/>
      <x:c r="D80" s="59"/>
      <x:c r="E80" s="59"/>
      <x:c r="F80" s="59"/>
      <x:c r="G80" s="59"/>
      <x:c r="H80" s="59"/>
      <x:c r="I80" s="59"/>
      <x:c r="J80" s="65"/>
      <x:c r="K80" s="59"/>
      <x:c r="L80" s="68"/>
      <x:c r="M80" s="71"/>
      <x:c r="N80" s="59"/>
      <x:c r="O80" s="60"/>
    </x:row>
    <x:row r="81">
      <x:c r="A81" s="58"/>
      <x:c r="B81" s="59"/>
      <x:c r="C81" s="59"/>
      <x:c r="D81" s="59"/>
      <x:c r="E81" s="59"/>
      <x:c r="F81" s="59"/>
      <x:c r="G81" s="59"/>
      <x:c r="H81" s="59"/>
      <x:c r="I81" s="59"/>
      <x:c r="J81" s="65"/>
      <x:c r="K81" s="59"/>
      <x:c r="L81" s="68"/>
      <x:c r="M81" s="71"/>
      <x:c r="N81" s="59"/>
      <x:c r="O81" s="60"/>
    </x:row>
    <x:row r="82">
      <x:c r="A82" s="58"/>
      <x:c r="B82" s="59"/>
      <x:c r="C82" s="59"/>
      <x:c r="D82" s="59"/>
      <x:c r="E82" s="59"/>
      <x:c r="F82" s="59"/>
      <x:c r="G82" s="59"/>
      <x:c r="H82" s="59"/>
      <x:c r="I82" s="59"/>
      <x:c r="J82" s="65"/>
      <x:c r="K82" s="59"/>
      <x:c r="L82" s="68"/>
      <x:c r="M82" s="71"/>
      <x:c r="N82" s="59"/>
      <x:c r="O82" s="60"/>
    </x:row>
    <x:row r="83">
      <x:c r="A83" s="58"/>
      <x:c r="B83" s="59"/>
      <x:c r="C83" s="59"/>
      <x:c r="D83" s="59"/>
      <x:c r="E83" s="59"/>
      <x:c r="F83" s="59"/>
      <x:c r="G83" s="59"/>
      <x:c r="H83" s="59"/>
      <x:c r="I83" s="59"/>
      <x:c r="J83" s="65"/>
      <x:c r="K83" s="59"/>
      <x:c r="L83" s="68"/>
      <x:c r="M83" s="71"/>
      <x:c r="N83" s="59"/>
      <x:c r="O83" s="60"/>
    </x:row>
    <x:row r="84">
      <x:c r="A84" s="58"/>
      <x:c r="B84" s="59"/>
      <x:c r="C84" s="59"/>
      <x:c r="D84" s="59"/>
      <x:c r="E84" s="59"/>
      <x:c r="F84" s="59"/>
      <x:c r="G84" s="59"/>
      <x:c r="H84" s="59"/>
      <x:c r="I84" s="59"/>
      <x:c r="J84" s="65"/>
      <x:c r="K84" s="59"/>
      <x:c r="L84" s="68"/>
      <x:c r="M84" s="71"/>
      <x:c r="N84" s="59"/>
      <x:c r="O84" s="60"/>
    </x:row>
    <x:row r="85">
      <x:c r="A85" s="58"/>
      <x:c r="B85" s="59"/>
      <x:c r="C85" s="59"/>
      <x:c r="D85" s="59"/>
      <x:c r="E85" s="59"/>
      <x:c r="F85" s="59"/>
      <x:c r="G85" s="59"/>
      <x:c r="H85" s="59"/>
      <x:c r="I85" s="59"/>
      <x:c r="J85" s="65"/>
      <x:c r="K85" s="59"/>
      <x:c r="L85" s="68"/>
      <x:c r="M85" s="71"/>
      <x:c r="N85" s="59"/>
      <x:c r="O85" s="60"/>
    </x:row>
    <x:row r="86">
      <x:c r="A86" s="58"/>
      <x:c r="B86" s="59"/>
      <x:c r="C86" s="59"/>
      <x:c r="D86" s="59"/>
      <x:c r="E86" s="59"/>
      <x:c r="F86" s="59"/>
      <x:c r="G86" s="59"/>
      <x:c r="H86" s="59"/>
      <x:c r="I86" s="59"/>
      <x:c r="J86" s="65"/>
      <x:c r="K86" s="59"/>
      <x:c r="L86" s="68"/>
      <x:c r="M86" s="71"/>
      <x:c r="N86" s="59"/>
      <x:c r="O86" s="60"/>
    </x:row>
    <x:row r="87">
      <x:c r="A87" s="58"/>
      <x:c r="B87" s="59"/>
      <x:c r="C87" s="59"/>
      <x:c r="D87" s="59"/>
      <x:c r="E87" s="59"/>
      <x:c r="F87" s="59"/>
      <x:c r="G87" s="59"/>
      <x:c r="H87" s="59"/>
      <x:c r="I87" s="59"/>
      <x:c r="J87" s="65"/>
      <x:c r="K87" s="59"/>
      <x:c r="L87" s="68"/>
      <x:c r="M87" s="71"/>
      <x:c r="N87" s="59"/>
      <x:c r="O87" s="60"/>
    </x:row>
    <x:row r="88">
      <x:c r="A88" s="58"/>
      <x:c r="B88" s="59"/>
      <x:c r="C88" s="59"/>
      <x:c r="D88" s="59"/>
      <x:c r="E88" s="59"/>
      <x:c r="F88" s="59"/>
      <x:c r="G88" s="59"/>
      <x:c r="H88" s="59"/>
      <x:c r="I88" s="59"/>
      <x:c r="J88" s="65"/>
      <x:c r="K88" s="59"/>
      <x:c r="L88" s="68"/>
      <x:c r="M88" s="71"/>
      <x:c r="N88" s="59"/>
      <x:c r="O88" s="60"/>
    </x:row>
    <x:row r="89">
      <x:c r="A89" s="58"/>
      <x:c r="B89" s="59"/>
      <x:c r="C89" s="59"/>
      <x:c r="D89" s="59"/>
      <x:c r="E89" s="59"/>
      <x:c r="F89" s="59"/>
      <x:c r="G89" s="59"/>
      <x:c r="H89" s="59"/>
      <x:c r="I89" s="59"/>
      <x:c r="J89" s="65"/>
      <x:c r="K89" s="59"/>
      <x:c r="L89" s="68"/>
      <x:c r="M89" s="71"/>
      <x:c r="N89" s="59"/>
      <x:c r="O89" s="60"/>
    </x:row>
    <x:row r="90">
      <x:c r="A90" s="58"/>
      <x:c r="B90" s="59"/>
      <x:c r="C90" s="59"/>
      <x:c r="D90" s="59"/>
      <x:c r="E90" s="59"/>
      <x:c r="F90" s="59"/>
      <x:c r="G90" s="59"/>
      <x:c r="H90" s="59"/>
      <x:c r="I90" s="59"/>
      <x:c r="J90" s="65"/>
      <x:c r="K90" s="59"/>
      <x:c r="L90" s="68"/>
      <x:c r="M90" s="71"/>
      <x:c r="N90" s="59"/>
      <x:c r="O90" s="60"/>
    </x:row>
    <x:row r="91">
      <x:c r="A91" s="58"/>
      <x:c r="B91" s="59"/>
      <x:c r="C91" s="59"/>
      <x:c r="D91" s="59"/>
      <x:c r="E91" s="59"/>
      <x:c r="F91" s="59"/>
      <x:c r="G91" s="59"/>
      <x:c r="H91" s="59"/>
      <x:c r="I91" s="59"/>
      <x:c r="J91" s="65"/>
      <x:c r="K91" s="59"/>
      <x:c r="L91" s="68"/>
      <x:c r="M91" s="71"/>
      <x:c r="N91" s="59"/>
      <x:c r="O91" s="60"/>
    </x:row>
    <x:row r="92">
      <x:c r="A92" s="58"/>
      <x:c r="B92" s="59"/>
      <x:c r="C92" s="59"/>
      <x:c r="D92" s="59"/>
      <x:c r="E92" s="59"/>
      <x:c r="F92" s="59"/>
      <x:c r="G92" s="59"/>
      <x:c r="H92" s="59"/>
      <x:c r="I92" s="59"/>
      <x:c r="J92" s="65"/>
      <x:c r="K92" s="59"/>
      <x:c r="L92" s="68"/>
      <x:c r="M92" s="71"/>
      <x:c r="N92" s="59"/>
      <x:c r="O92" s="60"/>
    </x:row>
    <x:row r="93">
      <x:c r="A93" s="58"/>
      <x:c r="B93" s="59"/>
      <x:c r="C93" s="59"/>
      <x:c r="D93" s="59"/>
      <x:c r="E93" s="59"/>
      <x:c r="F93" s="59"/>
      <x:c r="G93" s="59"/>
      <x:c r="H93" s="59"/>
      <x:c r="I93" s="59"/>
      <x:c r="J93" s="65"/>
      <x:c r="K93" s="59"/>
      <x:c r="L93" s="68"/>
      <x:c r="M93" s="71"/>
      <x:c r="N93" s="59"/>
      <x:c r="O93" s="60"/>
    </x:row>
    <x:row r="94">
      <x:c r="A94" s="58"/>
      <x:c r="B94" s="59"/>
      <x:c r="C94" s="59"/>
      <x:c r="D94" s="59"/>
      <x:c r="E94" s="59"/>
      <x:c r="F94" s="59"/>
      <x:c r="G94" s="59"/>
      <x:c r="H94" s="59"/>
      <x:c r="I94" s="59"/>
      <x:c r="J94" s="65"/>
      <x:c r="K94" s="59"/>
      <x:c r="L94" s="68"/>
      <x:c r="M94" s="71"/>
      <x:c r="N94" s="59"/>
      <x:c r="O94" s="60"/>
    </x:row>
    <x:row r="95">
      <x:c r="A95" s="58"/>
      <x:c r="B95" s="59"/>
      <x:c r="C95" s="59"/>
      <x:c r="D95" s="59"/>
      <x:c r="E95" s="59"/>
      <x:c r="F95" s="59"/>
      <x:c r="G95" s="59"/>
      <x:c r="H95" s="59"/>
      <x:c r="I95" s="59"/>
      <x:c r="J95" s="65"/>
      <x:c r="K95" s="59"/>
      <x:c r="L95" s="68"/>
      <x:c r="M95" s="71"/>
      <x:c r="N95" s="59"/>
      <x:c r="O95" s="60"/>
    </x:row>
    <x:row r="96">
      <x:c r="A96" s="58"/>
      <x:c r="B96" s="59"/>
      <x:c r="C96" s="59"/>
      <x:c r="D96" s="59"/>
      <x:c r="E96" s="59"/>
      <x:c r="F96" s="59"/>
      <x:c r="G96" s="59"/>
      <x:c r="H96" s="59"/>
      <x:c r="I96" s="59"/>
      <x:c r="J96" s="65"/>
      <x:c r="K96" s="59"/>
      <x:c r="L96" s="68"/>
      <x:c r="M96" s="71"/>
      <x:c r="N96" s="59"/>
      <x:c r="O96" s="60"/>
    </x:row>
    <x:row r="97">
      <x:c r="A97" s="58"/>
      <x:c r="B97" s="59"/>
      <x:c r="C97" s="59"/>
      <x:c r="D97" s="59"/>
      <x:c r="E97" s="59"/>
      <x:c r="F97" s="59"/>
      <x:c r="G97" s="59"/>
      <x:c r="H97" s="59"/>
      <x:c r="I97" s="59"/>
      <x:c r="J97" s="65"/>
      <x:c r="K97" s="59"/>
      <x:c r="L97" s="68"/>
      <x:c r="M97" s="71"/>
      <x:c r="N97" s="59"/>
      <x:c r="O97" s="60"/>
    </x:row>
    <x:row r="98">
      <x:c r="A98" s="58"/>
      <x:c r="B98" s="59"/>
      <x:c r="C98" s="59"/>
      <x:c r="D98" s="59"/>
      <x:c r="E98" s="59"/>
      <x:c r="F98" s="59"/>
      <x:c r="G98" s="59"/>
      <x:c r="H98" s="59"/>
      <x:c r="I98" s="59"/>
      <x:c r="J98" s="65"/>
      <x:c r="K98" s="59"/>
      <x:c r="L98" s="68"/>
      <x:c r="M98" s="71"/>
      <x:c r="N98" s="59"/>
      <x:c r="O98" s="60"/>
    </x:row>
    <x:row r="99">
      <x:c r="A99" s="58"/>
      <x:c r="B99" s="59"/>
      <x:c r="C99" s="59"/>
      <x:c r="D99" s="59"/>
      <x:c r="E99" s="59"/>
      <x:c r="F99" s="59"/>
      <x:c r="G99" s="59"/>
      <x:c r="H99" s="59"/>
      <x:c r="I99" s="59"/>
      <x:c r="J99" s="65"/>
      <x:c r="K99" s="59"/>
      <x:c r="L99" s="68"/>
      <x:c r="M99" s="71"/>
      <x:c r="N99" s="59"/>
      <x:c r="O99" s="60"/>
    </x:row>
    <x:row r="100">
      <x:c r="A100" s="58"/>
      <x:c r="B100" s="59"/>
      <x:c r="C100" s="59"/>
      <x:c r="D100" s="59"/>
      <x:c r="E100" s="59"/>
      <x:c r="F100" s="59"/>
      <x:c r="G100" s="59"/>
      <x:c r="H100" s="59"/>
      <x:c r="I100" s="59"/>
      <x:c r="J100" s="65"/>
      <x:c r="K100" s="59"/>
      <x:c r="L100" s="68"/>
      <x:c r="M100" s="71"/>
      <x:c r="N100" s="59"/>
      <x:c r="O100" s="60"/>
    </x:row>
    <x:row r="101">
      <x:c r="A101" s="58"/>
      <x:c r="B101" s="59"/>
      <x:c r="C101" s="59"/>
      <x:c r="D101" s="59"/>
      <x:c r="E101" s="59"/>
      <x:c r="F101" s="59"/>
      <x:c r="G101" s="59"/>
      <x:c r="H101" s="59"/>
      <x:c r="I101" s="59"/>
      <x:c r="J101" s="65"/>
      <x:c r="K101" s="59"/>
      <x:c r="L101" s="68"/>
      <x:c r="M101" s="71"/>
      <x:c r="N101" s="59"/>
      <x:c r="O101" s="60"/>
    </x:row>
    <x:row r="102">
      <x:c r="A102" s="58"/>
      <x:c r="B102" s="59"/>
      <x:c r="C102" s="59"/>
      <x:c r="D102" s="59"/>
      <x:c r="E102" s="59"/>
      <x:c r="F102" s="59"/>
      <x:c r="G102" s="59"/>
      <x:c r="H102" s="59"/>
      <x:c r="I102" s="59"/>
      <x:c r="J102" s="65"/>
      <x:c r="K102" s="59"/>
      <x:c r="L102" s="68"/>
      <x:c r="M102" s="71"/>
      <x:c r="N102" s="59"/>
      <x:c r="O102" s="60"/>
    </x:row>
    <x:row r="103">
      <x:c r="A103" s="58"/>
      <x:c r="B103" s="59"/>
      <x:c r="C103" s="59"/>
      <x:c r="D103" s="59"/>
      <x:c r="E103" s="59"/>
      <x:c r="F103" s="59"/>
      <x:c r="G103" s="59"/>
      <x:c r="H103" s="59"/>
      <x:c r="I103" s="59"/>
      <x:c r="J103" s="65"/>
      <x:c r="K103" s="59"/>
      <x:c r="L103" s="68"/>
      <x:c r="M103" s="71"/>
      <x:c r="N103" s="59"/>
      <x:c r="O103" s="60"/>
    </x:row>
    <x:row r="104">
      <x:c r="A104" s="58"/>
      <x:c r="B104" s="59"/>
      <x:c r="C104" s="59"/>
      <x:c r="D104" s="59"/>
      <x:c r="E104" s="59"/>
      <x:c r="F104" s="59"/>
      <x:c r="G104" s="59"/>
      <x:c r="H104" s="59"/>
      <x:c r="I104" s="59"/>
      <x:c r="J104" s="65"/>
      <x:c r="K104" s="59"/>
      <x:c r="L104" s="68"/>
      <x:c r="M104" s="71"/>
      <x:c r="N104" s="59"/>
      <x:c r="O104" s="60"/>
    </x:row>
    <x:row r="105">
      <x:c r="A105" s="58"/>
      <x:c r="B105" s="59"/>
      <x:c r="C105" s="59"/>
      <x:c r="D105" s="59"/>
      <x:c r="E105" s="59"/>
      <x:c r="F105" s="59"/>
      <x:c r="G105" s="59"/>
      <x:c r="H105" s="59"/>
      <x:c r="I105" s="59"/>
      <x:c r="J105" s="65"/>
      <x:c r="K105" s="59"/>
      <x:c r="L105" s="68"/>
      <x:c r="M105" s="71"/>
      <x:c r="N105" s="59"/>
      <x:c r="O105" s="60"/>
    </x:row>
    <x:row r="106">
      <x:c r="A106" s="58"/>
      <x:c r="B106" s="59"/>
      <x:c r="C106" s="59"/>
      <x:c r="D106" s="59"/>
      <x:c r="E106" s="59"/>
      <x:c r="F106" s="59"/>
      <x:c r="G106" s="59"/>
      <x:c r="H106" s="59"/>
      <x:c r="I106" s="59"/>
      <x:c r="J106" s="65"/>
      <x:c r="K106" s="59"/>
      <x:c r="L106" s="68"/>
      <x:c r="M106" s="71"/>
      <x:c r="N106" s="59"/>
      <x:c r="O106" s="60"/>
    </x:row>
    <x:row r="107">
      <x:c r="A107" s="58"/>
      <x:c r="B107" s="59"/>
      <x:c r="C107" s="59"/>
      <x:c r="D107" s="59"/>
      <x:c r="E107" s="59"/>
      <x:c r="F107" s="59"/>
      <x:c r="G107" s="59"/>
      <x:c r="H107" s="59"/>
      <x:c r="I107" s="59"/>
      <x:c r="J107" s="65"/>
      <x:c r="K107" s="59"/>
      <x:c r="L107" s="68"/>
      <x:c r="M107" s="71"/>
      <x:c r="N107" s="59"/>
      <x:c r="O107" s="60"/>
    </x:row>
    <x:row r="108">
      <x:c r="A108" s="58"/>
      <x:c r="B108" s="59"/>
      <x:c r="C108" s="59"/>
      <x:c r="D108" s="59"/>
      <x:c r="E108" s="59"/>
      <x:c r="F108" s="59"/>
      <x:c r="G108" s="59"/>
      <x:c r="H108" s="59"/>
      <x:c r="I108" s="59"/>
      <x:c r="J108" s="65"/>
      <x:c r="K108" s="59"/>
      <x:c r="L108" s="68"/>
      <x:c r="M108" s="71"/>
      <x:c r="N108" s="59"/>
      <x:c r="O108" s="60"/>
    </x:row>
    <x:row r="109">
      <x:c r="A109" s="58"/>
      <x:c r="B109" s="59"/>
      <x:c r="C109" s="59"/>
      <x:c r="D109" s="59"/>
      <x:c r="E109" s="59"/>
      <x:c r="F109" s="59"/>
      <x:c r="G109" s="59"/>
      <x:c r="H109" s="59"/>
      <x:c r="I109" s="59"/>
      <x:c r="J109" s="65"/>
      <x:c r="K109" s="59"/>
      <x:c r="L109" s="68"/>
      <x:c r="M109" s="71"/>
      <x:c r="N109" s="59"/>
      <x:c r="O109" s="60"/>
    </x:row>
    <x:row r="110">
      <x:c r="A110" s="58"/>
      <x:c r="B110" s="59"/>
      <x:c r="C110" s="59"/>
      <x:c r="D110" s="59"/>
      <x:c r="E110" s="59"/>
      <x:c r="F110" s="59"/>
      <x:c r="G110" s="59"/>
      <x:c r="H110" s="59"/>
      <x:c r="I110" s="59"/>
      <x:c r="J110" s="65"/>
      <x:c r="K110" s="59"/>
      <x:c r="L110" s="68"/>
      <x:c r="M110" s="71"/>
      <x:c r="N110" s="59"/>
      <x:c r="O110" s="60"/>
    </x:row>
    <x:row r="111">
      <x:c r="A111" s="58"/>
      <x:c r="B111" s="59"/>
      <x:c r="C111" s="59"/>
      <x:c r="D111" s="59"/>
      <x:c r="E111" s="59"/>
      <x:c r="F111" s="59"/>
      <x:c r="G111" s="59"/>
      <x:c r="H111" s="59"/>
      <x:c r="I111" s="59"/>
      <x:c r="J111" s="65"/>
      <x:c r="K111" s="59"/>
      <x:c r="L111" s="68"/>
      <x:c r="M111" s="71"/>
      <x:c r="N111" s="59"/>
      <x:c r="O111" s="60"/>
    </x:row>
    <x:row r="112">
      <x:c r="A112" s="58"/>
      <x:c r="B112" s="59"/>
      <x:c r="C112" s="59"/>
      <x:c r="D112" s="59"/>
      <x:c r="E112" s="59"/>
      <x:c r="F112" s="59"/>
      <x:c r="G112" s="59"/>
      <x:c r="H112" s="59"/>
      <x:c r="I112" s="59"/>
      <x:c r="J112" s="65"/>
      <x:c r="K112" s="59"/>
      <x:c r="L112" s="68"/>
      <x:c r="M112" s="71"/>
      <x:c r="N112" s="59"/>
      <x:c r="O112" s="60"/>
    </x:row>
    <x:row r="113">
      <x:c r="A113" s="58"/>
      <x:c r="B113" s="59"/>
      <x:c r="C113" s="59"/>
      <x:c r="D113" s="59"/>
      <x:c r="E113" s="59"/>
      <x:c r="F113" s="59"/>
      <x:c r="G113" s="59"/>
      <x:c r="H113" s="59"/>
      <x:c r="I113" s="59"/>
      <x:c r="J113" s="65"/>
      <x:c r="K113" s="59"/>
      <x:c r="L113" s="68"/>
      <x:c r="M113" s="71"/>
      <x:c r="N113" s="59"/>
      <x:c r="O113" s="60"/>
    </x:row>
    <x:row r="114">
      <x:c r="A114" s="58"/>
      <x:c r="B114" s="59"/>
      <x:c r="C114" s="59"/>
      <x:c r="D114" s="59"/>
      <x:c r="E114" s="59"/>
      <x:c r="F114" s="59"/>
      <x:c r="G114" s="59"/>
      <x:c r="H114" s="59"/>
      <x:c r="I114" s="59"/>
      <x:c r="J114" s="65"/>
      <x:c r="K114" s="59"/>
      <x:c r="L114" s="68"/>
      <x:c r="M114" s="71"/>
      <x:c r="N114" s="59"/>
      <x:c r="O114" s="60"/>
    </x:row>
    <x:row r="115">
      <x:c r="A115" s="58"/>
      <x:c r="B115" s="59"/>
      <x:c r="C115" s="59"/>
      <x:c r="D115" s="59"/>
      <x:c r="E115" s="59"/>
      <x:c r="F115" s="59"/>
      <x:c r="G115" s="59"/>
      <x:c r="H115" s="59"/>
      <x:c r="I115" s="59"/>
      <x:c r="J115" s="65"/>
      <x:c r="K115" s="59"/>
      <x:c r="L115" s="68"/>
      <x:c r="M115" s="71"/>
      <x:c r="N115" s="59"/>
      <x:c r="O115" s="60"/>
    </x:row>
    <x:row r="116">
      <x:c r="A116" s="58"/>
      <x:c r="B116" s="59"/>
      <x:c r="C116" s="59"/>
      <x:c r="D116" s="59"/>
      <x:c r="E116" s="59"/>
      <x:c r="F116" s="59"/>
      <x:c r="G116" s="59"/>
      <x:c r="H116" s="59"/>
      <x:c r="I116" s="59"/>
      <x:c r="J116" s="65"/>
      <x:c r="K116" s="59"/>
      <x:c r="L116" s="68"/>
      <x:c r="M116" s="71"/>
      <x:c r="N116" s="59"/>
      <x:c r="O116" s="60"/>
    </x:row>
    <x:row r="117">
      <x:c r="A117" s="58"/>
      <x:c r="B117" s="59"/>
      <x:c r="C117" s="59"/>
      <x:c r="D117" s="59"/>
      <x:c r="E117" s="59"/>
      <x:c r="F117" s="59"/>
      <x:c r="G117" s="59"/>
      <x:c r="H117" s="59"/>
      <x:c r="I117" s="59"/>
      <x:c r="J117" s="65"/>
      <x:c r="K117" s="59"/>
      <x:c r="L117" s="68"/>
      <x:c r="M117" s="71"/>
      <x:c r="N117" s="59"/>
      <x:c r="O117" s="60"/>
    </x:row>
    <x:row r="118">
      <x:c r="A118" s="58"/>
      <x:c r="B118" s="59"/>
      <x:c r="C118" s="59"/>
      <x:c r="D118" s="59"/>
      <x:c r="E118" s="59"/>
      <x:c r="F118" s="59"/>
      <x:c r="G118" s="59"/>
      <x:c r="H118" s="59"/>
      <x:c r="I118" s="59"/>
      <x:c r="J118" s="65"/>
      <x:c r="K118" s="59"/>
      <x:c r="L118" s="68"/>
      <x:c r="M118" s="71"/>
      <x:c r="N118" s="59"/>
      <x:c r="O118" s="60"/>
    </x:row>
    <x:row r="119">
      <x:c r="A119" s="58"/>
      <x:c r="B119" s="59"/>
      <x:c r="C119" s="59"/>
      <x:c r="D119" s="59"/>
      <x:c r="E119" s="59"/>
      <x:c r="F119" s="59"/>
      <x:c r="G119" s="59"/>
      <x:c r="H119" s="59"/>
      <x:c r="I119" s="59"/>
      <x:c r="J119" s="65"/>
      <x:c r="K119" s="59"/>
      <x:c r="L119" s="68"/>
      <x:c r="M119" s="71"/>
      <x:c r="N119" s="59"/>
      <x:c r="O119" s="60"/>
    </x:row>
    <x:row r="120">
      <x:c r="A120" s="58"/>
      <x:c r="B120" s="59"/>
      <x:c r="C120" s="59"/>
      <x:c r="D120" s="59"/>
      <x:c r="E120" s="59"/>
      <x:c r="F120" s="59"/>
      <x:c r="G120" s="59"/>
      <x:c r="H120" s="59"/>
      <x:c r="I120" s="59"/>
      <x:c r="J120" s="65"/>
      <x:c r="K120" s="59"/>
      <x:c r="L120" s="68"/>
      <x:c r="M120" s="71"/>
      <x:c r="N120" s="59"/>
      <x:c r="O120" s="60"/>
    </x:row>
    <x:row r="121">
      <x:c r="A121" s="58"/>
      <x:c r="B121" s="59"/>
      <x:c r="C121" s="59"/>
      <x:c r="D121" s="59"/>
      <x:c r="E121" s="59"/>
      <x:c r="F121" s="59"/>
      <x:c r="G121" s="59"/>
      <x:c r="H121" s="59"/>
      <x:c r="I121" s="59"/>
      <x:c r="J121" s="65"/>
      <x:c r="K121" s="59"/>
      <x:c r="L121" s="68"/>
      <x:c r="M121" s="71"/>
      <x:c r="N121" s="59"/>
      <x:c r="O121" s="60"/>
    </x:row>
    <x:row r="122">
      <x:c r="A122" s="58"/>
      <x:c r="B122" s="59"/>
      <x:c r="C122" s="59"/>
      <x:c r="D122" s="59"/>
      <x:c r="E122" s="59"/>
      <x:c r="F122" s="59"/>
      <x:c r="G122" s="59"/>
      <x:c r="H122" s="59"/>
      <x:c r="I122" s="59"/>
      <x:c r="J122" s="65"/>
      <x:c r="K122" s="59"/>
      <x:c r="L122" s="68"/>
      <x:c r="M122" s="71"/>
      <x:c r="N122" s="59"/>
      <x:c r="O122" s="60"/>
    </x:row>
    <x:row r="123">
      <x:c r="A123" s="58"/>
      <x:c r="B123" s="59"/>
      <x:c r="C123" s="59"/>
      <x:c r="D123" s="59"/>
      <x:c r="E123" s="59"/>
      <x:c r="F123" s="59"/>
      <x:c r="G123" s="59"/>
      <x:c r="H123" s="59"/>
      <x:c r="I123" s="59"/>
      <x:c r="J123" s="65"/>
      <x:c r="K123" s="59"/>
      <x:c r="L123" s="68"/>
      <x:c r="M123" s="71"/>
      <x:c r="N123" s="59"/>
      <x:c r="O123" s="60"/>
    </x:row>
    <x:row r="124">
      <x:c r="A124" s="58"/>
      <x:c r="B124" s="59"/>
      <x:c r="C124" s="59"/>
      <x:c r="D124" s="59"/>
      <x:c r="E124" s="59"/>
      <x:c r="F124" s="59"/>
      <x:c r="G124" s="59"/>
      <x:c r="H124" s="59"/>
      <x:c r="I124" s="59"/>
      <x:c r="J124" s="65"/>
      <x:c r="K124" s="59"/>
      <x:c r="L124" s="68"/>
      <x:c r="M124" s="71"/>
      <x:c r="N124" s="59"/>
      <x:c r="O124" s="60"/>
    </x:row>
    <x:row r="125">
      <x:c r="A125" s="58"/>
      <x:c r="B125" s="59"/>
      <x:c r="C125" s="59"/>
      <x:c r="D125" s="59"/>
      <x:c r="E125" s="59"/>
      <x:c r="F125" s="59"/>
      <x:c r="G125" s="59"/>
      <x:c r="H125" s="59"/>
      <x:c r="I125" s="59"/>
      <x:c r="J125" s="65"/>
      <x:c r="K125" s="59"/>
      <x:c r="L125" s="68"/>
      <x:c r="M125" s="71"/>
      <x:c r="N125" s="59"/>
      <x:c r="O125" s="60"/>
    </x:row>
    <x:row r="126">
      <x:c r="A126" s="58"/>
      <x:c r="B126" s="59"/>
      <x:c r="C126" s="59"/>
      <x:c r="D126" s="59"/>
      <x:c r="E126" s="59"/>
      <x:c r="F126" s="59"/>
      <x:c r="G126" s="59"/>
      <x:c r="H126" s="59"/>
      <x:c r="I126" s="59"/>
      <x:c r="J126" s="65"/>
      <x:c r="K126" s="59"/>
      <x:c r="L126" s="68"/>
      <x:c r="M126" s="71"/>
      <x:c r="N126" s="59"/>
      <x:c r="O126" s="60"/>
    </x:row>
    <x:row r="127">
      <x:c r="A127" s="58"/>
      <x:c r="B127" s="59"/>
      <x:c r="C127" s="59"/>
      <x:c r="D127" s="59"/>
      <x:c r="E127" s="59"/>
      <x:c r="F127" s="59"/>
      <x:c r="G127" s="59"/>
      <x:c r="H127" s="59"/>
      <x:c r="I127" s="59"/>
      <x:c r="J127" s="65"/>
      <x:c r="K127" s="59"/>
      <x:c r="L127" s="68"/>
      <x:c r="M127" s="71"/>
      <x:c r="N127" s="59"/>
      <x:c r="O127" s="60"/>
    </x:row>
    <x:row r="128">
      <x:c r="A128" s="58"/>
      <x:c r="B128" s="59"/>
      <x:c r="C128" s="59"/>
      <x:c r="D128" s="59"/>
      <x:c r="E128" s="59"/>
      <x:c r="F128" s="59"/>
      <x:c r="G128" s="59"/>
      <x:c r="H128" s="59"/>
      <x:c r="I128" s="59"/>
      <x:c r="J128" s="65"/>
      <x:c r="K128" s="59"/>
      <x:c r="L128" s="68"/>
      <x:c r="M128" s="71"/>
      <x:c r="N128" s="59"/>
      <x:c r="O128" s="60"/>
    </x:row>
    <x:row r="129">
      <x:c r="A129" s="58"/>
      <x:c r="B129" s="59"/>
      <x:c r="C129" s="59"/>
      <x:c r="D129" s="59"/>
      <x:c r="E129" s="59"/>
      <x:c r="F129" s="59"/>
      <x:c r="G129" s="59"/>
      <x:c r="H129" s="59"/>
      <x:c r="I129" s="59"/>
      <x:c r="J129" s="65"/>
      <x:c r="K129" s="59"/>
      <x:c r="L129" s="68"/>
      <x:c r="M129" s="71"/>
      <x:c r="N129" s="59"/>
      <x:c r="O129" s="60"/>
    </x:row>
    <x:row r="130">
      <x:c r="A130" s="58"/>
      <x:c r="B130" s="59"/>
      <x:c r="C130" s="59"/>
      <x:c r="D130" s="59"/>
      <x:c r="E130" s="59"/>
      <x:c r="F130" s="59"/>
      <x:c r="G130" s="59"/>
      <x:c r="H130" s="59"/>
      <x:c r="I130" s="59"/>
      <x:c r="J130" s="65"/>
      <x:c r="K130" s="59"/>
      <x:c r="L130" s="68"/>
      <x:c r="M130" s="71"/>
      <x:c r="N130" s="59"/>
      <x:c r="O130" s="60"/>
    </x:row>
    <x:row r="131">
      <x:c r="A131" s="58"/>
      <x:c r="B131" s="59"/>
      <x:c r="C131" s="59"/>
      <x:c r="D131" s="59"/>
      <x:c r="E131" s="59"/>
      <x:c r="F131" s="59"/>
      <x:c r="G131" s="59"/>
      <x:c r="H131" s="59"/>
      <x:c r="I131" s="59"/>
      <x:c r="J131" s="65"/>
      <x:c r="K131" s="59"/>
      <x:c r="L131" s="68"/>
      <x:c r="M131" s="71"/>
      <x:c r="N131" s="59"/>
      <x:c r="O131" s="60"/>
    </x:row>
    <x:row r="132">
      <x:c r="A132" s="58"/>
      <x:c r="B132" s="59"/>
      <x:c r="C132" s="59"/>
      <x:c r="D132" s="59"/>
      <x:c r="E132" s="59"/>
      <x:c r="F132" s="59"/>
      <x:c r="G132" s="59"/>
      <x:c r="H132" s="59"/>
      <x:c r="I132" s="59"/>
      <x:c r="J132" s="65"/>
      <x:c r="K132" s="59"/>
      <x:c r="L132" s="68"/>
      <x:c r="M132" s="71"/>
      <x:c r="N132" s="59"/>
      <x:c r="O132" s="60"/>
    </x:row>
    <x:row r="133">
      <x:c r="A133" s="58"/>
      <x:c r="B133" s="59"/>
      <x:c r="C133" s="59"/>
      <x:c r="D133" s="59"/>
      <x:c r="E133" s="59"/>
      <x:c r="F133" s="59"/>
      <x:c r="G133" s="59"/>
      <x:c r="H133" s="59"/>
      <x:c r="I133" s="59"/>
      <x:c r="J133" s="65"/>
      <x:c r="K133" s="59"/>
      <x:c r="L133" s="68"/>
      <x:c r="M133" s="71"/>
      <x:c r="N133" s="59"/>
      <x:c r="O133" s="60"/>
    </x:row>
    <x:row r="134">
      <x:c r="A134" s="58"/>
      <x:c r="B134" s="59"/>
      <x:c r="C134" s="59"/>
      <x:c r="D134" s="59"/>
      <x:c r="E134" s="59"/>
      <x:c r="F134" s="59"/>
      <x:c r="G134" s="59"/>
      <x:c r="H134" s="59"/>
      <x:c r="I134" s="59"/>
      <x:c r="J134" s="65"/>
      <x:c r="K134" s="59"/>
      <x:c r="L134" s="68"/>
      <x:c r="M134" s="71"/>
      <x:c r="N134" s="59"/>
      <x:c r="O134" s="60"/>
    </x:row>
    <x:row r="135">
      <x:c r="A135" s="58"/>
      <x:c r="B135" s="59"/>
      <x:c r="C135" s="59"/>
      <x:c r="D135" s="59"/>
      <x:c r="E135" s="59"/>
      <x:c r="F135" s="59"/>
      <x:c r="G135" s="59"/>
      <x:c r="H135" s="59"/>
      <x:c r="I135" s="59"/>
      <x:c r="J135" s="65"/>
      <x:c r="K135" s="59"/>
      <x:c r="L135" s="68"/>
      <x:c r="M135" s="71"/>
      <x:c r="N135" s="59"/>
      <x:c r="O135" s="60"/>
    </x:row>
    <x:row r="136">
      <x:c r="A136" s="58"/>
      <x:c r="B136" s="59"/>
      <x:c r="C136" s="59"/>
      <x:c r="D136" s="59"/>
      <x:c r="E136" s="59"/>
      <x:c r="F136" s="59"/>
      <x:c r="G136" s="59"/>
      <x:c r="H136" s="59"/>
      <x:c r="I136" s="59"/>
      <x:c r="J136" s="65"/>
      <x:c r="K136" s="59"/>
      <x:c r="L136" s="68"/>
      <x:c r="M136" s="71"/>
      <x:c r="N136" s="59"/>
      <x:c r="O136" s="60"/>
    </x:row>
    <x:row r="137">
      <x:c r="A137" s="58"/>
      <x:c r="B137" s="59"/>
      <x:c r="C137" s="59"/>
      <x:c r="D137" s="59"/>
      <x:c r="E137" s="59"/>
      <x:c r="F137" s="59"/>
      <x:c r="G137" s="59"/>
      <x:c r="H137" s="59"/>
      <x:c r="I137" s="59"/>
      <x:c r="J137" s="65"/>
      <x:c r="K137" s="59"/>
      <x:c r="L137" s="68"/>
      <x:c r="M137" s="71"/>
      <x:c r="N137" s="59"/>
      <x:c r="O137" s="60"/>
    </x:row>
    <x:row r="138">
      <x:c r="A138" s="58"/>
      <x:c r="B138" s="59"/>
      <x:c r="C138" s="59"/>
      <x:c r="D138" s="59"/>
      <x:c r="E138" s="59"/>
      <x:c r="F138" s="59"/>
      <x:c r="G138" s="59"/>
      <x:c r="H138" s="59"/>
      <x:c r="I138" s="59"/>
      <x:c r="J138" s="65"/>
      <x:c r="K138" s="59"/>
      <x:c r="L138" s="68"/>
      <x:c r="M138" s="71"/>
      <x:c r="N138" s="59"/>
      <x:c r="O138" s="60"/>
    </x:row>
    <x:row r="139">
      <x:c r="A139" s="58"/>
      <x:c r="B139" s="59"/>
      <x:c r="C139" s="59"/>
      <x:c r="D139" s="59"/>
      <x:c r="E139" s="59"/>
      <x:c r="F139" s="59"/>
      <x:c r="G139" s="59"/>
      <x:c r="H139" s="59"/>
      <x:c r="I139" s="59"/>
      <x:c r="J139" s="65"/>
      <x:c r="K139" s="59"/>
      <x:c r="L139" s="68"/>
      <x:c r="M139" s="71"/>
      <x:c r="N139" s="59"/>
      <x:c r="O139" s="60"/>
    </x:row>
    <x:row r="140">
      <x:c r="A140" s="58"/>
      <x:c r="B140" s="59"/>
      <x:c r="C140" s="59"/>
      <x:c r="D140" s="59"/>
      <x:c r="E140" s="59"/>
      <x:c r="F140" s="59"/>
      <x:c r="G140" s="59"/>
      <x:c r="H140" s="59"/>
      <x:c r="I140" s="59"/>
      <x:c r="J140" s="65"/>
      <x:c r="K140" s="59"/>
      <x:c r="L140" s="68"/>
      <x:c r="M140" s="71"/>
      <x:c r="N140" s="59"/>
      <x:c r="O140" s="60"/>
    </x:row>
    <x:row r="141">
      <x:c r="A141" s="58"/>
      <x:c r="B141" s="59"/>
      <x:c r="C141" s="59"/>
      <x:c r="D141" s="59"/>
      <x:c r="E141" s="59"/>
      <x:c r="F141" s="59"/>
      <x:c r="G141" s="59"/>
      <x:c r="H141" s="59"/>
      <x:c r="I141" s="59"/>
      <x:c r="J141" s="65"/>
      <x:c r="K141" s="59"/>
      <x:c r="L141" s="68"/>
      <x:c r="M141" s="71"/>
      <x:c r="N141" s="59"/>
      <x:c r="O141" s="60"/>
    </x:row>
    <x:row r="142">
      <x:c r="A142" s="58"/>
      <x:c r="B142" s="59"/>
      <x:c r="C142" s="59"/>
      <x:c r="D142" s="59"/>
      <x:c r="E142" s="59"/>
      <x:c r="F142" s="59"/>
      <x:c r="G142" s="59"/>
      <x:c r="H142" s="59"/>
      <x:c r="I142" s="59"/>
      <x:c r="J142" s="65"/>
      <x:c r="K142" s="59"/>
      <x:c r="L142" s="68"/>
      <x:c r="M142" s="71"/>
      <x:c r="N142" s="59"/>
      <x:c r="O142" s="60"/>
    </x:row>
    <x:row r="143">
      <x:c r="A143" s="58"/>
      <x:c r="B143" s="59"/>
      <x:c r="C143" s="59"/>
      <x:c r="D143" s="59"/>
      <x:c r="E143" s="59"/>
      <x:c r="F143" s="59"/>
      <x:c r="G143" s="59"/>
      <x:c r="H143" s="59"/>
      <x:c r="I143" s="59"/>
      <x:c r="J143" s="65"/>
      <x:c r="K143" s="59"/>
      <x:c r="L143" s="68"/>
      <x:c r="M143" s="71"/>
      <x:c r="N143" s="59"/>
      <x:c r="O143" s="60"/>
    </x:row>
    <x:row r="144">
      <x:c r="A144" s="58"/>
      <x:c r="B144" s="59"/>
      <x:c r="C144" s="59"/>
      <x:c r="D144" s="59"/>
      <x:c r="E144" s="59"/>
      <x:c r="F144" s="59"/>
      <x:c r="G144" s="59"/>
      <x:c r="H144" s="59"/>
      <x:c r="I144" s="59"/>
      <x:c r="J144" s="65"/>
      <x:c r="K144" s="59"/>
      <x:c r="L144" s="68"/>
      <x:c r="M144" s="71"/>
      <x:c r="N144" s="59"/>
      <x:c r="O144" s="60"/>
    </x:row>
    <x:row r="145">
      <x:c r="A145" s="58"/>
      <x:c r="B145" s="59"/>
      <x:c r="C145" s="59"/>
      <x:c r="D145" s="59"/>
      <x:c r="E145" s="59"/>
      <x:c r="F145" s="59"/>
      <x:c r="G145" s="59"/>
      <x:c r="H145" s="59"/>
      <x:c r="I145" s="59"/>
      <x:c r="J145" s="65"/>
      <x:c r="K145" s="59"/>
      <x:c r="L145" s="68"/>
      <x:c r="M145" s="71"/>
      <x:c r="N145" s="59"/>
      <x:c r="O145" s="60"/>
    </x:row>
    <x:row r="146">
      <x:c r="A146" s="58"/>
      <x:c r="B146" s="59"/>
      <x:c r="C146" s="59"/>
      <x:c r="D146" s="59"/>
      <x:c r="E146" s="59"/>
      <x:c r="F146" s="59"/>
      <x:c r="G146" s="59"/>
      <x:c r="H146" s="59"/>
      <x:c r="I146" s="59"/>
      <x:c r="J146" s="65"/>
      <x:c r="K146" s="59"/>
      <x:c r="L146" s="68"/>
      <x:c r="M146" s="71"/>
      <x:c r="N146" s="59"/>
      <x:c r="O146" s="60"/>
    </x:row>
    <x:row r="147">
      <x:c r="A147" s="58"/>
      <x:c r="B147" s="59"/>
      <x:c r="C147" s="59"/>
      <x:c r="D147" s="59"/>
      <x:c r="E147" s="59"/>
      <x:c r="F147" s="59"/>
      <x:c r="G147" s="59"/>
      <x:c r="H147" s="59"/>
      <x:c r="I147" s="59"/>
      <x:c r="J147" s="65"/>
      <x:c r="K147" s="59"/>
      <x:c r="L147" s="68"/>
      <x:c r="M147" s="71"/>
      <x:c r="N147" s="59"/>
      <x:c r="O147" s="60"/>
    </x:row>
    <x:row r="148">
      <x:c r="A148" s="58"/>
      <x:c r="B148" s="59"/>
      <x:c r="C148" s="59"/>
      <x:c r="D148" s="59"/>
      <x:c r="E148" s="59"/>
      <x:c r="F148" s="59"/>
      <x:c r="G148" s="59"/>
      <x:c r="H148" s="59"/>
      <x:c r="I148" s="59"/>
      <x:c r="J148" s="65"/>
      <x:c r="K148" s="59"/>
      <x:c r="L148" s="68"/>
      <x:c r="M148" s="71"/>
      <x:c r="N148" s="59"/>
      <x:c r="O148" s="60"/>
    </x:row>
    <x:row r="149">
      <x:c r="A149" s="58"/>
      <x:c r="B149" s="59"/>
      <x:c r="C149" s="59"/>
      <x:c r="D149" s="59"/>
      <x:c r="E149" s="59"/>
      <x:c r="F149" s="59"/>
      <x:c r="G149" s="59"/>
      <x:c r="H149" s="59"/>
      <x:c r="I149" s="59"/>
      <x:c r="J149" s="65"/>
      <x:c r="K149" s="59"/>
      <x:c r="L149" s="68"/>
      <x:c r="M149" s="71"/>
      <x:c r="N149" s="59"/>
      <x:c r="O149" s="60"/>
    </x:row>
    <x:row r="150">
      <x:c r="A150" s="58"/>
      <x:c r="B150" s="59"/>
      <x:c r="C150" s="59"/>
      <x:c r="D150" s="59"/>
      <x:c r="E150" s="59"/>
      <x:c r="F150" s="59"/>
      <x:c r="G150" s="59"/>
      <x:c r="H150" s="59"/>
      <x:c r="I150" s="59"/>
      <x:c r="J150" s="65"/>
      <x:c r="K150" s="59"/>
      <x:c r="L150" s="68"/>
      <x:c r="M150" s="71"/>
      <x:c r="N150" s="59"/>
      <x:c r="O150" s="60"/>
    </x:row>
    <x:row r="151">
      <x:c r="A151" s="58"/>
      <x:c r="B151" s="59"/>
      <x:c r="C151" s="59"/>
      <x:c r="D151" s="59"/>
      <x:c r="E151" s="59"/>
      <x:c r="F151" s="59"/>
      <x:c r="G151" s="59"/>
      <x:c r="H151" s="59"/>
      <x:c r="I151" s="59"/>
      <x:c r="J151" s="65"/>
      <x:c r="K151" s="59"/>
      <x:c r="L151" s="68"/>
      <x:c r="M151" s="71"/>
      <x:c r="N151" s="59"/>
      <x:c r="O151" s="60"/>
    </x:row>
    <x:row r="152">
      <x:c r="A152" s="58"/>
      <x:c r="B152" s="59"/>
      <x:c r="C152" s="59"/>
      <x:c r="D152" s="59"/>
      <x:c r="E152" s="59"/>
      <x:c r="F152" s="59"/>
      <x:c r="G152" s="59"/>
      <x:c r="H152" s="59"/>
      <x:c r="I152" s="59"/>
      <x:c r="J152" s="65"/>
      <x:c r="K152" s="59"/>
      <x:c r="L152" s="68"/>
      <x:c r="M152" s="71"/>
      <x:c r="N152" s="59"/>
      <x:c r="O152" s="60"/>
    </x:row>
    <x:row r="153">
      <x:c r="A153" s="58"/>
      <x:c r="B153" s="59"/>
      <x:c r="C153" s="59"/>
      <x:c r="D153" s="59"/>
      <x:c r="E153" s="59"/>
      <x:c r="F153" s="59"/>
      <x:c r="G153" s="59"/>
      <x:c r="H153" s="59"/>
      <x:c r="I153" s="59"/>
      <x:c r="J153" s="65"/>
      <x:c r="K153" s="59"/>
      <x:c r="L153" s="68"/>
      <x:c r="M153" s="71"/>
      <x:c r="N153" s="59"/>
      <x:c r="O153" s="60"/>
    </x:row>
    <x:row r="154">
      <x:c r="A154" s="58"/>
      <x:c r="B154" s="59"/>
      <x:c r="C154" s="59"/>
      <x:c r="D154" s="59"/>
      <x:c r="E154" s="59"/>
      <x:c r="F154" s="59"/>
      <x:c r="G154" s="59"/>
      <x:c r="H154" s="59"/>
      <x:c r="I154" s="59"/>
      <x:c r="J154" s="65"/>
      <x:c r="K154" s="59"/>
      <x:c r="L154" s="68"/>
      <x:c r="M154" s="71"/>
      <x:c r="N154" s="59"/>
      <x:c r="O154" s="60"/>
    </x:row>
    <x:row r="155">
      <x:c r="A155" s="58"/>
      <x:c r="B155" s="59"/>
      <x:c r="C155" s="59"/>
      <x:c r="D155" s="59"/>
      <x:c r="E155" s="59"/>
      <x:c r="F155" s="59"/>
      <x:c r="G155" s="59"/>
      <x:c r="H155" s="59"/>
      <x:c r="I155" s="59"/>
      <x:c r="J155" s="65"/>
      <x:c r="K155" s="59"/>
      <x:c r="L155" s="68"/>
      <x:c r="M155" s="71"/>
      <x:c r="N155" s="59"/>
      <x:c r="O155" s="60"/>
    </x:row>
    <x:row r="156">
      <x:c r="A156" s="58"/>
      <x:c r="B156" s="59"/>
      <x:c r="C156" s="59"/>
      <x:c r="D156" s="59"/>
      <x:c r="E156" s="59"/>
      <x:c r="F156" s="59"/>
      <x:c r="G156" s="59"/>
      <x:c r="H156" s="59"/>
      <x:c r="I156" s="59"/>
      <x:c r="J156" s="65"/>
      <x:c r="K156" s="59"/>
      <x:c r="L156" s="68"/>
      <x:c r="M156" s="71"/>
      <x:c r="N156" s="59"/>
      <x:c r="O156" s="60"/>
    </x:row>
    <x:row r="157">
      <x:c r="A157" s="58"/>
      <x:c r="B157" s="59"/>
      <x:c r="C157" s="59"/>
      <x:c r="D157" s="59"/>
      <x:c r="E157" s="59"/>
      <x:c r="F157" s="59"/>
      <x:c r="G157" s="59"/>
      <x:c r="H157" s="59"/>
      <x:c r="I157" s="59"/>
      <x:c r="J157" s="65"/>
      <x:c r="K157" s="59"/>
      <x:c r="L157" s="68"/>
      <x:c r="M157" s="71"/>
      <x:c r="N157" s="59"/>
      <x:c r="O157" s="60"/>
    </x:row>
    <x:row r="158">
      <x:c r="A158" s="58"/>
      <x:c r="B158" s="59"/>
      <x:c r="C158" s="59"/>
      <x:c r="D158" s="59"/>
      <x:c r="E158" s="59"/>
      <x:c r="F158" s="59"/>
      <x:c r="G158" s="59"/>
      <x:c r="H158" s="59"/>
      <x:c r="I158" s="59"/>
      <x:c r="J158" s="65"/>
      <x:c r="K158" s="59"/>
      <x:c r="L158" s="68"/>
      <x:c r="M158" s="71"/>
      <x:c r="N158" s="59"/>
      <x:c r="O158" s="60"/>
    </x:row>
    <x:row r="159">
      <x:c r="A159" s="58"/>
      <x:c r="B159" s="59"/>
      <x:c r="C159" s="59"/>
      <x:c r="D159" s="59"/>
      <x:c r="E159" s="59"/>
      <x:c r="F159" s="59"/>
      <x:c r="G159" s="59"/>
      <x:c r="H159" s="59"/>
      <x:c r="I159" s="59"/>
      <x:c r="J159" s="65"/>
      <x:c r="K159" s="59"/>
      <x:c r="L159" s="68"/>
      <x:c r="M159" s="71"/>
      <x:c r="N159" s="59"/>
      <x:c r="O159" s="60"/>
    </x:row>
    <x:row r="160">
      <x:c r="A160" s="58"/>
      <x:c r="B160" s="59"/>
      <x:c r="C160" s="59"/>
      <x:c r="D160" s="59"/>
      <x:c r="E160" s="59"/>
      <x:c r="F160" s="59"/>
      <x:c r="G160" s="59"/>
      <x:c r="H160" s="59"/>
      <x:c r="I160" s="59"/>
      <x:c r="J160" s="65"/>
      <x:c r="K160" s="59"/>
      <x:c r="L160" s="68"/>
      <x:c r="M160" s="71"/>
      <x:c r="N160" s="59"/>
      <x:c r="O160" s="60"/>
    </x:row>
    <x:row r="161">
      <x:c r="A161" s="58"/>
      <x:c r="B161" s="59"/>
      <x:c r="C161" s="59"/>
      <x:c r="D161" s="59"/>
      <x:c r="E161" s="59"/>
      <x:c r="F161" s="59"/>
      <x:c r="G161" s="59"/>
      <x:c r="H161" s="59"/>
      <x:c r="I161" s="59"/>
      <x:c r="J161" s="65"/>
      <x:c r="K161" s="59"/>
      <x:c r="L161" s="68"/>
      <x:c r="M161" s="71"/>
      <x:c r="N161" s="59"/>
      <x:c r="O161" s="60"/>
    </x:row>
    <x:row r="162">
      <x:c r="A162" s="58"/>
      <x:c r="B162" s="59"/>
      <x:c r="C162" s="59"/>
      <x:c r="D162" s="59"/>
      <x:c r="E162" s="59"/>
      <x:c r="F162" s="59"/>
      <x:c r="G162" s="59"/>
      <x:c r="H162" s="59"/>
      <x:c r="I162" s="59"/>
      <x:c r="J162" s="65"/>
      <x:c r="K162" s="59"/>
      <x:c r="L162" s="68"/>
      <x:c r="M162" s="71"/>
      <x:c r="N162" s="59"/>
      <x:c r="O162" s="60"/>
    </x:row>
    <x:row r="163">
      <x:c r="A163" s="58"/>
      <x:c r="B163" s="59"/>
      <x:c r="C163" s="59"/>
      <x:c r="D163" s="59"/>
      <x:c r="E163" s="59"/>
      <x:c r="F163" s="59"/>
      <x:c r="G163" s="59"/>
      <x:c r="H163" s="59"/>
      <x:c r="I163" s="59"/>
      <x:c r="J163" s="65"/>
      <x:c r="K163" s="59"/>
      <x:c r="L163" s="68"/>
      <x:c r="M163" s="71"/>
      <x:c r="N163" s="59"/>
      <x:c r="O163" s="60"/>
    </x:row>
    <x:row r="164">
      <x:c r="A164" s="58"/>
      <x:c r="B164" s="59"/>
      <x:c r="C164" s="59"/>
      <x:c r="D164" s="59"/>
      <x:c r="E164" s="59"/>
      <x:c r="F164" s="59"/>
      <x:c r="G164" s="59"/>
      <x:c r="H164" s="59"/>
      <x:c r="I164" s="59"/>
      <x:c r="J164" s="65"/>
      <x:c r="K164" s="59"/>
      <x:c r="L164" s="68"/>
      <x:c r="M164" s="71"/>
      <x:c r="N164" s="59"/>
      <x:c r="O164" s="60"/>
    </x:row>
    <x:row r="165">
      <x:c r="A165" s="58"/>
      <x:c r="B165" s="59"/>
      <x:c r="C165" s="59"/>
      <x:c r="D165" s="59"/>
      <x:c r="E165" s="59"/>
      <x:c r="F165" s="59"/>
      <x:c r="G165" s="59"/>
      <x:c r="H165" s="59"/>
      <x:c r="I165" s="59"/>
      <x:c r="J165" s="65"/>
      <x:c r="K165" s="59"/>
      <x:c r="L165" s="68"/>
      <x:c r="M165" s="71"/>
      <x:c r="N165" s="59"/>
      <x:c r="O165" s="60"/>
    </x:row>
    <x:row r="166">
      <x:c r="A166" s="58"/>
      <x:c r="B166" s="59"/>
      <x:c r="C166" s="59"/>
      <x:c r="D166" s="59"/>
      <x:c r="E166" s="59"/>
      <x:c r="F166" s="59"/>
      <x:c r="G166" s="59"/>
      <x:c r="H166" s="59"/>
      <x:c r="I166" s="59"/>
      <x:c r="J166" s="65"/>
      <x:c r="K166" s="59"/>
      <x:c r="L166" s="68"/>
      <x:c r="M166" s="71"/>
      <x:c r="N166" s="59"/>
      <x:c r="O166" s="60"/>
    </x:row>
    <x:row r="167">
      <x:c r="A167" s="58"/>
      <x:c r="B167" s="59"/>
      <x:c r="C167" s="59"/>
      <x:c r="D167" s="59"/>
      <x:c r="E167" s="59"/>
      <x:c r="F167" s="59"/>
      <x:c r="G167" s="59"/>
      <x:c r="H167" s="59"/>
      <x:c r="I167" s="59"/>
      <x:c r="J167" s="65"/>
      <x:c r="K167" s="59"/>
      <x:c r="L167" s="68"/>
      <x:c r="M167" s="71"/>
      <x:c r="N167" s="59"/>
      <x:c r="O167" s="60"/>
    </x:row>
    <x:row r="168">
      <x:c r="A168" s="58"/>
      <x:c r="B168" s="59"/>
      <x:c r="C168" s="59"/>
      <x:c r="D168" s="59"/>
      <x:c r="E168" s="59"/>
      <x:c r="F168" s="59"/>
      <x:c r="G168" s="59"/>
      <x:c r="H168" s="59"/>
      <x:c r="I168" s="59"/>
      <x:c r="J168" s="65"/>
      <x:c r="K168" s="59"/>
      <x:c r="L168" s="68"/>
      <x:c r="M168" s="71"/>
      <x:c r="N168" s="59"/>
      <x:c r="O168" s="60"/>
    </x:row>
    <x:row r="169">
      <x:c r="A169" s="58"/>
      <x:c r="B169" s="59"/>
      <x:c r="C169" s="59"/>
      <x:c r="D169" s="59"/>
      <x:c r="E169" s="59"/>
      <x:c r="F169" s="59"/>
      <x:c r="G169" s="59"/>
      <x:c r="H169" s="59"/>
      <x:c r="I169" s="59"/>
      <x:c r="J169" s="65"/>
      <x:c r="K169" s="59"/>
      <x:c r="L169" s="68"/>
      <x:c r="M169" s="71"/>
      <x:c r="N169" s="59"/>
      <x:c r="O169" s="60"/>
    </x:row>
    <x:row r="170">
      <x:c r="A170" s="58"/>
      <x:c r="B170" s="59"/>
      <x:c r="C170" s="59"/>
      <x:c r="D170" s="59"/>
      <x:c r="E170" s="59"/>
      <x:c r="F170" s="59"/>
      <x:c r="G170" s="59"/>
      <x:c r="H170" s="59"/>
      <x:c r="I170" s="59"/>
      <x:c r="J170" s="65"/>
      <x:c r="K170" s="59"/>
      <x:c r="L170" s="68"/>
      <x:c r="M170" s="71"/>
      <x:c r="N170" s="59"/>
      <x:c r="O170" s="60"/>
    </x:row>
    <x:row r="171">
      <x:c r="A171" s="58"/>
      <x:c r="B171" s="59"/>
      <x:c r="C171" s="59"/>
      <x:c r="D171" s="59"/>
      <x:c r="E171" s="59"/>
      <x:c r="F171" s="59"/>
      <x:c r="G171" s="59"/>
      <x:c r="H171" s="59"/>
      <x:c r="I171" s="59"/>
      <x:c r="J171" s="65"/>
      <x:c r="K171" s="59"/>
      <x:c r="L171" s="68"/>
      <x:c r="M171" s="71"/>
      <x:c r="N171" s="59"/>
      <x:c r="O171" s="60"/>
    </x:row>
    <x:row r="172">
      <x:c r="A172" s="58"/>
      <x:c r="B172" s="59"/>
      <x:c r="C172" s="59"/>
      <x:c r="D172" s="59"/>
      <x:c r="E172" s="59"/>
      <x:c r="F172" s="59"/>
      <x:c r="G172" s="59"/>
      <x:c r="H172" s="59"/>
      <x:c r="I172" s="59"/>
      <x:c r="J172" s="65"/>
      <x:c r="K172" s="59"/>
      <x:c r="L172" s="68"/>
      <x:c r="M172" s="71"/>
      <x:c r="N172" s="59"/>
      <x:c r="O172" s="60"/>
    </x:row>
    <x:row r="173">
      <x:c r="A173" s="58"/>
      <x:c r="B173" s="59"/>
      <x:c r="C173" s="59"/>
      <x:c r="D173" s="59"/>
      <x:c r="E173" s="59"/>
      <x:c r="F173" s="59"/>
      <x:c r="G173" s="59"/>
      <x:c r="H173" s="59"/>
      <x:c r="I173" s="59"/>
      <x:c r="J173" s="65"/>
      <x:c r="K173" s="59"/>
      <x:c r="L173" s="68"/>
      <x:c r="M173" s="71"/>
      <x:c r="N173" s="59"/>
      <x:c r="O173" s="60"/>
    </x:row>
    <x:row r="174">
      <x:c r="A174" s="58"/>
      <x:c r="B174" s="59"/>
      <x:c r="C174" s="59"/>
      <x:c r="D174" s="59"/>
      <x:c r="E174" s="59"/>
      <x:c r="F174" s="59"/>
      <x:c r="G174" s="59"/>
      <x:c r="H174" s="59"/>
      <x:c r="I174" s="59"/>
      <x:c r="J174" s="65"/>
      <x:c r="K174" s="59"/>
      <x:c r="L174" s="68"/>
      <x:c r="M174" s="71"/>
      <x:c r="N174" s="59"/>
      <x:c r="O174" s="60"/>
    </x:row>
    <x:row r="175">
      <x:c r="A175" s="58"/>
      <x:c r="B175" s="59"/>
      <x:c r="C175" s="59"/>
      <x:c r="D175" s="59"/>
      <x:c r="E175" s="59"/>
      <x:c r="F175" s="59"/>
      <x:c r="G175" s="59"/>
      <x:c r="H175" s="59"/>
      <x:c r="I175" s="59"/>
      <x:c r="J175" s="65"/>
      <x:c r="K175" s="59"/>
      <x:c r="L175" s="68"/>
      <x:c r="M175" s="71"/>
      <x:c r="N175" s="59"/>
      <x:c r="O175" s="60"/>
    </x:row>
    <x:row r="176">
      <x:c r="A176" s="58"/>
      <x:c r="B176" s="59"/>
      <x:c r="C176" s="59"/>
      <x:c r="D176" s="59"/>
      <x:c r="E176" s="59"/>
      <x:c r="F176" s="59"/>
      <x:c r="G176" s="59"/>
      <x:c r="H176" s="59"/>
      <x:c r="I176" s="59"/>
      <x:c r="J176" s="65"/>
      <x:c r="K176" s="59"/>
      <x:c r="L176" s="68"/>
      <x:c r="M176" s="71"/>
      <x:c r="N176" s="59"/>
      <x:c r="O176" s="60"/>
    </x:row>
    <x:row r="177">
      <x:c r="A177" s="58"/>
      <x:c r="B177" s="59"/>
      <x:c r="C177" s="59"/>
      <x:c r="D177" s="59"/>
      <x:c r="E177" s="59"/>
      <x:c r="F177" s="59"/>
      <x:c r="G177" s="59"/>
      <x:c r="H177" s="59"/>
      <x:c r="I177" s="59"/>
      <x:c r="J177" s="65"/>
      <x:c r="K177" s="59"/>
      <x:c r="L177" s="68"/>
      <x:c r="M177" s="71"/>
      <x:c r="N177" s="59"/>
      <x:c r="O177" s="60"/>
    </x:row>
    <x:row r="178">
      <x:c r="A178" s="58"/>
      <x:c r="B178" s="59"/>
      <x:c r="C178" s="59"/>
      <x:c r="D178" s="59"/>
      <x:c r="E178" s="59"/>
      <x:c r="F178" s="59"/>
      <x:c r="G178" s="59"/>
      <x:c r="H178" s="59"/>
      <x:c r="I178" s="59"/>
      <x:c r="J178" s="65"/>
      <x:c r="K178" s="59"/>
      <x:c r="L178" s="68"/>
      <x:c r="M178" s="71"/>
      <x:c r="N178" s="59"/>
      <x:c r="O178" s="60"/>
    </x:row>
    <x:row r="179">
      <x:c r="A179" s="58"/>
      <x:c r="B179" s="59"/>
      <x:c r="C179" s="59"/>
      <x:c r="D179" s="59"/>
      <x:c r="E179" s="59"/>
      <x:c r="F179" s="59"/>
      <x:c r="G179" s="59"/>
      <x:c r="H179" s="59"/>
      <x:c r="I179" s="59"/>
      <x:c r="J179" s="65"/>
      <x:c r="K179" s="59"/>
      <x:c r="L179" s="68"/>
      <x:c r="M179" s="71"/>
      <x:c r="N179" s="59"/>
      <x:c r="O179" s="60"/>
    </x:row>
    <x:row r="180">
      <x:c r="A180" s="58"/>
      <x:c r="B180" s="59"/>
      <x:c r="C180" s="59"/>
      <x:c r="D180" s="59"/>
      <x:c r="E180" s="59"/>
      <x:c r="F180" s="59"/>
      <x:c r="G180" s="59"/>
      <x:c r="H180" s="59"/>
      <x:c r="I180" s="59"/>
      <x:c r="J180" s="65"/>
      <x:c r="K180" s="59"/>
      <x:c r="L180" s="68"/>
      <x:c r="M180" s="71"/>
      <x:c r="N180" s="59"/>
      <x:c r="O180" s="60"/>
    </x:row>
    <x:row r="181">
      <x:c r="A181" s="58"/>
      <x:c r="B181" s="59"/>
      <x:c r="C181" s="59"/>
      <x:c r="D181" s="59"/>
      <x:c r="E181" s="59"/>
      <x:c r="F181" s="59"/>
      <x:c r="G181" s="59"/>
      <x:c r="H181" s="59"/>
      <x:c r="I181" s="59"/>
      <x:c r="J181" s="65"/>
      <x:c r="K181" s="59"/>
      <x:c r="L181" s="68"/>
      <x:c r="M181" s="71"/>
      <x:c r="N181" s="59"/>
      <x:c r="O181" s="60"/>
    </x:row>
    <x:row r="182">
      <x:c r="A182" s="58"/>
      <x:c r="B182" s="59"/>
      <x:c r="C182" s="59"/>
      <x:c r="D182" s="59"/>
      <x:c r="E182" s="59"/>
      <x:c r="F182" s="59"/>
      <x:c r="G182" s="59"/>
      <x:c r="H182" s="59"/>
      <x:c r="I182" s="59"/>
      <x:c r="J182" s="65"/>
      <x:c r="K182" s="59"/>
      <x:c r="L182" s="68"/>
      <x:c r="M182" s="71"/>
      <x:c r="N182" s="59"/>
      <x:c r="O182" s="60"/>
    </x:row>
    <x:row r="183">
      <x:c r="A183" s="58"/>
      <x:c r="B183" s="59"/>
      <x:c r="C183" s="59"/>
      <x:c r="D183" s="59"/>
      <x:c r="E183" s="59"/>
      <x:c r="F183" s="59"/>
      <x:c r="G183" s="59"/>
      <x:c r="H183" s="59"/>
      <x:c r="I183" s="59"/>
      <x:c r="J183" s="65"/>
      <x:c r="K183" s="59"/>
      <x:c r="L183" s="68"/>
      <x:c r="M183" s="71"/>
      <x:c r="N183" s="59"/>
      <x:c r="O183" s="60"/>
    </x:row>
    <x:row r="184">
      <x:c r="A184" s="58"/>
      <x:c r="B184" s="59"/>
      <x:c r="C184" s="59"/>
      <x:c r="D184" s="59"/>
      <x:c r="E184" s="59"/>
      <x:c r="F184" s="59"/>
      <x:c r="G184" s="59"/>
      <x:c r="H184" s="59"/>
      <x:c r="I184" s="59"/>
      <x:c r="J184" s="65"/>
      <x:c r="K184" s="59"/>
      <x:c r="L184" s="68"/>
      <x:c r="M184" s="71"/>
      <x:c r="N184" s="59"/>
      <x:c r="O184" s="60"/>
    </x:row>
    <x:row r="185">
      <x:c r="A185" s="58"/>
      <x:c r="B185" s="59"/>
      <x:c r="C185" s="59"/>
      <x:c r="D185" s="59"/>
      <x:c r="E185" s="59"/>
      <x:c r="F185" s="59"/>
      <x:c r="G185" s="59"/>
      <x:c r="H185" s="59"/>
      <x:c r="I185" s="59"/>
      <x:c r="J185" s="65"/>
      <x:c r="K185" s="59"/>
      <x:c r="L185" s="68"/>
      <x:c r="M185" s="71"/>
      <x:c r="N185" s="59"/>
      <x:c r="O185" s="60"/>
    </x:row>
    <x:row r="186">
      <x:c r="A186" s="58"/>
      <x:c r="B186" s="59"/>
      <x:c r="C186" s="59"/>
      <x:c r="D186" s="59"/>
      <x:c r="E186" s="59"/>
      <x:c r="F186" s="59"/>
      <x:c r="G186" s="59"/>
      <x:c r="H186" s="59"/>
      <x:c r="I186" s="59"/>
      <x:c r="J186" s="65"/>
      <x:c r="K186" s="59"/>
      <x:c r="L186" s="68"/>
      <x:c r="M186" s="71"/>
      <x:c r="N186" s="59"/>
      <x:c r="O186" s="60"/>
    </x:row>
    <x:row r="187">
      <x:c r="A187" s="58"/>
      <x:c r="B187" s="59"/>
      <x:c r="C187" s="59"/>
      <x:c r="D187" s="59"/>
      <x:c r="E187" s="59"/>
      <x:c r="F187" s="59"/>
      <x:c r="G187" s="59"/>
      <x:c r="H187" s="59"/>
      <x:c r="I187" s="59"/>
      <x:c r="J187" s="65"/>
      <x:c r="K187" s="59"/>
      <x:c r="L187" s="68"/>
      <x:c r="M187" s="71"/>
      <x:c r="N187" s="59"/>
      <x:c r="O187" s="60"/>
    </x:row>
    <x:row r="188">
      <x:c r="A188" s="58"/>
      <x:c r="B188" s="59"/>
      <x:c r="C188" s="59"/>
      <x:c r="D188" s="59"/>
      <x:c r="E188" s="59"/>
      <x:c r="F188" s="59"/>
      <x:c r="G188" s="59"/>
      <x:c r="H188" s="59"/>
      <x:c r="I188" s="59"/>
      <x:c r="J188" s="65"/>
      <x:c r="K188" s="59"/>
      <x:c r="L188" s="68"/>
      <x:c r="M188" s="71"/>
      <x:c r="N188" s="59"/>
      <x:c r="O188" s="60"/>
    </x:row>
    <x:row r="189">
      <x:c r="A189" s="58"/>
      <x:c r="B189" s="59"/>
      <x:c r="C189" s="59"/>
      <x:c r="D189" s="59"/>
      <x:c r="E189" s="59"/>
      <x:c r="F189" s="59"/>
      <x:c r="G189" s="59"/>
      <x:c r="H189" s="59"/>
      <x:c r="I189" s="59"/>
      <x:c r="J189" s="65"/>
      <x:c r="K189" s="59"/>
      <x:c r="L189" s="68"/>
      <x:c r="M189" s="71"/>
      <x:c r="N189" s="59"/>
      <x:c r="O189" s="60"/>
    </x:row>
    <x:row r="190">
      <x:c r="A190" s="58"/>
      <x:c r="B190" s="59"/>
      <x:c r="C190" s="59"/>
      <x:c r="D190" s="59"/>
      <x:c r="E190" s="59"/>
      <x:c r="F190" s="59"/>
      <x:c r="G190" s="59"/>
      <x:c r="H190" s="59"/>
      <x:c r="I190" s="59"/>
      <x:c r="J190" s="65"/>
      <x:c r="K190" s="59"/>
      <x:c r="L190" s="68"/>
      <x:c r="M190" s="71"/>
      <x:c r="N190" s="59"/>
      <x:c r="O190" s="60"/>
    </x:row>
    <x:row r="191">
      <x:c r="A191" s="58"/>
      <x:c r="B191" s="59"/>
      <x:c r="C191" s="59"/>
      <x:c r="D191" s="59"/>
      <x:c r="E191" s="59"/>
      <x:c r="F191" s="59"/>
      <x:c r="G191" s="59"/>
      <x:c r="H191" s="59"/>
      <x:c r="I191" s="59"/>
      <x:c r="J191" s="65"/>
      <x:c r="K191" s="59"/>
      <x:c r="L191" s="68"/>
      <x:c r="M191" s="71"/>
      <x:c r="N191" s="59"/>
      <x:c r="O191" s="60"/>
    </x:row>
    <x:row r="192">
      <x:c r="A192" s="58"/>
      <x:c r="B192" s="59"/>
      <x:c r="C192" s="59"/>
      <x:c r="D192" s="59"/>
      <x:c r="E192" s="59"/>
      <x:c r="F192" s="59"/>
      <x:c r="G192" s="59"/>
      <x:c r="H192" s="59"/>
      <x:c r="I192" s="59"/>
      <x:c r="J192" s="65"/>
      <x:c r="K192" s="59"/>
      <x:c r="L192" s="68"/>
      <x:c r="M192" s="71"/>
      <x:c r="N192" s="59"/>
      <x:c r="O192" s="60"/>
    </x:row>
    <x:row r="193">
      <x:c r="A193" s="58"/>
      <x:c r="B193" s="59"/>
      <x:c r="C193" s="59"/>
      <x:c r="D193" s="59"/>
      <x:c r="E193" s="59"/>
      <x:c r="F193" s="59"/>
      <x:c r="G193" s="59"/>
      <x:c r="H193" s="59"/>
      <x:c r="I193" s="59"/>
      <x:c r="J193" s="65"/>
      <x:c r="K193" s="59"/>
      <x:c r="L193" s="68"/>
      <x:c r="M193" s="71"/>
      <x:c r="N193" s="59"/>
      <x:c r="O193" s="60"/>
    </x:row>
    <x:row r="194">
      <x:c r="A194" s="58"/>
      <x:c r="B194" s="59"/>
      <x:c r="C194" s="59"/>
      <x:c r="D194" s="59"/>
      <x:c r="E194" s="59"/>
      <x:c r="F194" s="59"/>
      <x:c r="G194" s="59"/>
      <x:c r="H194" s="59"/>
      <x:c r="I194" s="59"/>
      <x:c r="J194" s="65"/>
      <x:c r="K194" s="59"/>
      <x:c r="L194" s="68"/>
      <x:c r="M194" s="71"/>
      <x:c r="N194" s="59"/>
      <x:c r="O194" s="60"/>
    </x:row>
    <x:row r="195">
      <x:c r="A195" s="58"/>
      <x:c r="B195" s="59"/>
      <x:c r="C195" s="59"/>
      <x:c r="D195" s="59"/>
      <x:c r="E195" s="59"/>
      <x:c r="F195" s="59"/>
      <x:c r="G195" s="59"/>
      <x:c r="H195" s="59"/>
      <x:c r="I195" s="59"/>
      <x:c r="J195" s="65"/>
      <x:c r="K195" s="59"/>
      <x:c r="L195" s="68"/>
      <x:c r="M195" s="71"/>
      <x:c r="N195" s="59"/>
      <x:c r="O195" s="60"/>
    </x:row>
    <x:row r="196">
      <x:c r="A196" s="58"/>
      <x:c r="B196" s="59"/>
      <x:c r="C196" s="59"/>
      <x:c r="D196" s="59"/>
      <x:c r="E196" s="59"/>
      <x:c r="F196" s="59"/>
      <x:c r="G196" s="59"/>
      <x:c r="H196" s="59"/>
      <x:c r="I196" s="59"/>
      <x:c r="J196" s="65"/>
      <x:c r="K196" s="59"/>
      <x:c r="L196" s="68"/>
      <x:c r="M196" s="71"/>
      <x:c r="N196" s="59"/>
      <x:c r="O196" s="60"/>
    </x:row>
    <x:row r="197">
      <x:c r="A197" s="58"/>
      <x:c r="B197" s="59"/>
      <x:c r="C197" s="59"/>
      <x:c r="D197" s="59"/>
      <x:c r="E197" s="59"/>
      <x:c r="F197" s="59"/>
      <x:c r="G197" s="59"/>
      <x:c r="H197" s="59"/>
      <x:c r="I197" s="59"/>
      <x:c r="J197" s="65"/>
      <x:c r="K197" s="59"/>
      <x:c r="L197" s="68"/>
      <x:c r="M197" s="71"/>
      <x:c r="N197" s="59"/>
      <x:c r="O197" s="60"/>
    </x:row>
    <x:row r="198">
      <x:c r="A198" s="58"/>
      <x:c r="B198" s="59"/>
      <x:c r="C198" s="59"/>
      <x:c r="D198" s="59"/>
      <x:c r="E198" s="59"/>
      <x:c r="F198" s="59"/>
      <x:c r="G198" s="59"/>
      <x:c r="H198" s="59"/>
      <x:c r="I198" s="59"/>
      <x:c r="J198" s="65"/>
      <x:c r="K198" s="59"/>
      <x:c r="L198" s="68"/>
      <x:c r="M198" s="71"/>
      <x:c r="N198" s="59"/>
      <x:c r="O198" s="60"/>
    </x:row>
    <x:row r="199">
      <x:c r="A199" s="58"/>
      <x:c r="B199" s="59"/>
      <x:c r="C199" s="59"/>
      <x:c r="D199" s="59"/>
      <x:c r="E199" s="59"/>
      <x:c r="F199" s="59"/>
      <x:c r="G199" s="59"/>
      <x:c r="H199" s="59"/>
      <x:c r="I199" s="59"/>
      <x:c r="J199" s="65"/>
      <x:c r="K199" s="59"/>
      <x:c r="L199" s="68"/>
      <x:c r="M199" s="71"/>
      <x:c r="N199" s="59"/>
      <x:c r="O199" s="60"/>
    </x:row>
    <x:row r="200">
      <x:c r="A200" s="58"/>
      <x:c r="B200" s="59"/>
      <x:c r="C200" s="59"/>
      <x:c r="D200" s="59"/>
      <x:c r="E200" s="59"/>
      <x:c r="F200" s="59"/>
      <x:c r="G200" s="59"/>
      <x:c r="H200" s="59"/>
      <x:c r="I200" s="59"/>
      <x:c r="J200" s="65"/>
      <x:c r="K200" s="59"/>
      <x:c r="L200" s="68"/>
      <x:c r="M200" s="71"/>
      <x:c r="N200" s="59"/>
      <x:c r="O200" s="60"/>
    </x:row>
    <x:row r="201">
      <x:c r="A201" s="58"/>
      <x:c r="B201" s="59"/>
      <x:c r="C201" s="59"/>
      <x:c r="D201" s="59"/>
      <x:c r="E201" s="59"/>
      <x:c r="F201" s="59"/>
      <x:c r="G201" s="59"/>
      <x:c r="H201" s="59"/>
      <x:c r="I201" s="59"/>
      <x:c r="J201" s="65"/>
      <x:c r="K201" s="59"/>
      <x:c r="L201" s="68"/>
      <x:c r="M201" s="71"/>
      <x:c r="N201" s="59"/>
      <x:c r="O201" s="60"/>
    </x:row>
    <x:row r="202">
      <x:c r="A202" s="58"/>
      <x:c r="B202" s="59"/>
      <x:c r="C202" s="59"/>
      <x:c r="D202" s="59"/>
      <x:c r="E202" s="59"/>
      <x:c r="F202" s="59"/>
      <x:c r="G202" s="59"/>
      <x:c r="H202" s="59"/>
      <x:c r="I202" s="59"/>
      <x:c r="J202" s="65"/>
      <x:c r="K202" s="59"/>
      <x:c r="L202" s="68"/>
      <x:c r="M202" s="71"/>
      <x:c r="N202" s="59"/>
      <x:c r="O202" s="60"/>
    </x:row>
    <x:row r="203">
      <x:c r="A203" s="58"/>
      <x:c r="B203" s="59"/>
      <x:c r="C203" s="59"/>
      <x:c r="D203" s="59"/>
      <x:c r="E203" s="59"/>
      <x:c r="F203" s="59"/>
      <x:c r="G203" s="59"/>
      <x:c r="H203" s="59"/>
      <x:c r="I203" s="59"/>
      <x:c r="J203" s="65"/>
      <x:c r="K203" s="59"/>
      <x:c r="L203" s="68"/>
      <x:c r="M203" s="71"/>
      <x:c r="N203" s="59"/>
      <x:c r="O203" s="60"/>
    </x:row>
    <x:row r="204">
      <x:c r="A204" s="61"/>
      <x:c r="B204" s="62"/>
      <x:c r="C204" s="62"/>
      <x:c r="D204" s="62"/>
      <x:c r="E204" s="62"/>
      <x:c r="F204" s="62"/>
      <x:c r="G204" s="62"/>
      <x:c r="H204" s="62"/>
      <x:c r="I204" s="62"/>
      <x:c r="J204" s="66"/>
      <x:c r="K204" s="62"/>
      <x:c r="L204" s="69"/>
      <x:c r="M204" s="72"/>
      <x:c r="N204" s="62"/>
      <x:c r="O204" s="63"/>
    </x:row>
  </x:sheetData>
  <x:mergeCells>
    <x:mergeCell ref="A1:O1"/>
    <x:mergeCell ref="A2:O2"/>
  </x:mergeCells>
  <x:conditionalFormatting sqref="F5:F204">
    <x:cfRule type="containsText" dxfId="1" priority="1" operator="containsText" text="Ganado"/>
    <x:cfRule type="containsText" dxfId="2" priority="2" operator="containsText" text="Perdido"/>
  </x:conditionalFormatting>
  <x:conditionalFormatting sqref="G5:G204">
    <x:cfRule type="containsText" dxfId="3" priority="3" operator="containsText" text="Alta"/>
  </x:conditionalFormatting>
  <x:dataValidations count="3">
    <x:dataValidation type="list" sqref="F5:F204">
      <x:formula1>"Lista,Contactado,Conversación,Reunión,Diagnóstico,Propuesta,Ganado,Perdido"</x:formula1>
    </x:dataValidation>
    <x:dataValidation type="list" sqref="G5:G204">
      <x:formula1>"Alta,Media,Baja"</x:formula1>
    </x:dataValidation>
    <x:dataValidation type="decimal" operator="between" sqref="M5:M204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536a1dc4ed041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5" hidden="0" customWidth="1"/>
    <x:col min="12" max="12" width="38" hidden="0" customWidth="1"/>
    <x:col min="13" max="13" width="14" hidden="0" customWidth="1"/>
  </x:cols>
  <x:sheetData>
    <x:row r="1" ht="34" customHeight="1">
      <x:c r="A1" s="3" t="str">
        <x:v>ACTIVIDAD DIARIA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6" customHeight="1">
      <x:c r="A2" s="6" t="str">
        <x:v>Registra una fila por persona y día. El dashboard toma estos valores mediante fórmulas.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28" customHeight="1">
      <x:c r="A4" s="16" t="str">
        <x:v>Fecha</x:v>
      </x:c>
      <x:c r="B4" s="22" t="str">
        <x:v>Responsable</x:v>
      </x:c>
      <x:c r="C4" s="22" t="str">
        <x:v>Bloque</x:v>
      </x:c>
      <x:c r="D4" s="22" t="str">
        <x:v>Marcaciones</x:v>
      </x:c>
      <x:c r="E4" s="22" t="str">
        <x:v>Conversaciones</x:v>
      </x:c>
      <x:c r="F4" s="22" t="str">
        <x:v>Cualificados</x:v>
      </x:c>
      <x:c r="G4" s="22" t="str">
        <x:v>Reuniones</x:v>
      </x:c>
      <x:c r="H4" s="22" t="str">
        <x:v>Celebradas</x:v>
      </x:c>
      <x:c r="I4" s="22" t="str">
        <x:v>Propuestas</x:v>
      </x:c>
      <x:c r="J4" s="22" t="str">
        <x:v>Ganados</x:v>
      </x:c>
      <x:c r="K4" s="22" t="str">
        <x:v>Seguimientos</x:v>
      </x:c>
      <x:c r="L4" s="22" t="str">
        <x:v>Observación</x:v>
      </x:c>
      <x:c r="M4" s="17" t="str">
        <x:v>Semana</x:v>
      </x:c>
    </x:row>
    <x:row r="5">
      <x:c r="A5" s="73" t="n">
        <x:v>46268</x:v>
      </x:c>
      <x:c r="B5" s="56" t="str">
        <x:v>EJEMPLO - BORRAR</x:v>
      </x:c>
      <x:c r="C5" s="56" t="str">
        <x:v>Mañana</x:v>
      </x:c>
      <x:c r="D5" s="56" t="n">
        <x:v>25</x:v>
      </x:c>
      <x:c r="E5" s="56" t="n">
        <x:v>4</x:v>
      </x:c>
      <x:c r="F5" s="56" t="n">
        <x:v>2</x:v>
      </x:c>
      <x:c r="G5" s="56" t="n">
        <x:v>1</x:v>
      </x:c>
      <x:c r="H5" s="56" t="n">
        <x:v>0</x:v>
      </x:c>
      <x:c r="I5" s="56" t="n">
        <x:v>0</x:v>
      </x:c>
      <x:c r="J5" s="56" t="n">
        <x:v>0</x:v>
      </x:c>
      <x:c r="K5" s="56" t="n">
        <x:v>6</x:v>
      </x:c>
      <x:c r="L5" s="57" t="str">
        <x:v>Datos de demostración</x:v>
      </x:c>
      <x:c r="M5" t="str">
        <x:f>YEAR(A5)&amp;"-S"&amp;TEXT(WEEKNUM(A5,2),"00")</x:f>
        <x:v>2026-S36</x:v>
      </x:c>
    </x:row>
    <x:row r="6">
      <x:c r="A6" s="74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60"/>
      <x:c r="M6" t="e">
        <x:f>YEAR(A6)&amp;"-S"&amp;TEXT(WEEKNUM(A6,2),"00")</x:f>
        <x:v>#NUM!</x:v>
      </x:c>
    </x:row>
    <x:row r="7">
      <x:c r="A7" s="74"/>
      <x:c r="B7" s="59"/>
      <x:c r="C7" s="59"/>
      <x:c r="D7" s="59"/>
      <x:c r="E7" s="59"/>
      <x:c r="F7" s="59"/>
      <x:c r="G7" s="59"/>
      <x:c r="H7" s="59"/>
      <x:c r="I7" s="59"/>
      <x:c r="J7" s="59"/>
      <x:c r="K7" s="59"/>
      <x:c r="L7" s="60"/>
      <x:c r="M7" t="e">
        <x:f>YEAR(A7)&amp;"-S"&amp;TEXT(WEEKNUM(A7,2),"00")</x:f>
        <x:v>#NUM!</x:v>
      </x:c>
    </x:row>
    <x:row r="8">
      <x:c r="A8" s="74"/>
      <x:c r="B8" s="59"/>
      <x:c r="C8" s="59"/>
      <x:c r="D8" s="59"/>
      <x:c r="E8" s="59"/>
      <x:c r="F8" s="59"/>
      <x:c r="G8" s="59"/>
      <x:c r="H8" s="59"/>
      <x:c r="I8" s="59"/>
      <x:c r="J8" s="59"/>
      <x:c r="K8" s="59"/>
      <x:c r="L8" s="60"/>
      <x:c r="M8" t="e">
        <x:f>YEAR(A8)&amp;"-S"&amp;TEXT(WEEKNUM(A8,2),"00")</x:f>
        <x:v>#NUM!</x:v>
      </x:c>
    </x:row>
    <x:row r="9">
      <x:c r="A9" s="74"/>
      <x:c r="B9" s="59"/>
      <x:c r="C9" s="59"/>
      <x:c r="D9" s="59"/>
      <x:c r="E9" s="59"/>
      <x:c r="F9" s="59"/>
      <x:c r="G9" s="59"/>
      <x:c r="H9" s="59"/>
      <x:c r="I9" s="59"/>
      <x:c r="J9" s="59"/>
      <x:c r="K9" s="59"/>
      <x:c r="L9" s="60"/>
      <x:c r="M9" t="e">
        <x:f>YEAR(A9)&amp;"-S"&amp;TEXT(WEEKNUM(A9,2),"00")</x:f>
        <x:v>#NUM!</x:v>
      </x:c>
    </x:row>
    <x:row r="10">
      <x:c r="A10" s="74"/>
      <x:c r="B10" s="59"/>
      <x:c r="C10" s="59"/>
      <x:c r="D10" s="59"/>
      <x:c r="E10" s="59"/>
      <x:c r="F10" s="59"/>
      <x:c r="G10" s="59"/>
      <x:c r="H10" s="59"/>
      <x:c r="I10" s="59"/>
      <x:c r="J10" s="59"/>
      <x:c r="K10" s="59"/>
      <x:c r="L10" s="60"/>
      <x:c r="M10" t="e">
        <x:f>YEAR(A10)&amp;"-S"&amp;TEXT(WEEKNUM(A10,2),"00")</x:f>
        <x:v>#NUM!</x:v>
      </x:c>
    </x:row>
    <x:row r="11">
      <x:c r="A11" s="74"/>
      <x:c r="B11" s="59"/>
      <x:c r="C11" s="59"/>
      <x:c r="D11" s="59"/>
      <x:c r="E11" s="59"/>
      <x:c r="F11" s="59"/>
      <x:c r="G11" s="59"/>
      <x:c r="H11" s="59"/>
      <x:c r="I11" s="59"/>
      <x:c r="J11" s="59"/>
      <x:c r="K11" s="59"/>
      <x:c r="L11" s="60"/>
      <x:c r="M11" t="e">
        <x:f>YEAR(A11)&amp;"-S"&amp;TEXT(WEEKNUM(A11,2),"00")</x:f>
        <x:v>#NUM!</x:v>
      </x:c>
    </x:row>
    <x:row r="12">
      <x:c r="A12" s="74"/>
      <x:c r="B12" s="59"/>
      <x:c r="C12" s="59"/>
      <x:c r="D12" s="59"/>
      <x:c r="E12" s="59"/>
      <x:c r="F12" s="59"/>
      <x:c r="G12" s="59"/>
      <x:c r="H12" s="59"/>
      <x:c r="I12" s="59"/>
      <x:c r="J12" s="59"/>
      <x:c r="K12" s="59"/>
      <x:c r="L12" s="60"/>
      <x:c r="M12" t="e">
        <x:f>YEAR(A12)&amp;"-S"&amp;TEXT(WEEKNUM(A12,2),"00")</x:f>
        <x:v>#NUM!</x:v>
      </x:c>
    </x:row>
    <x:row r="13">
      <x:c r="A13" s="74"/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  <x:c r="L13" s="60"/>
      <x:c r="M13" t="e">
        <x:f>YEAR(A13)&amp;"-S"&amp;TEXT(WEEKNUM(A13,2),"00")</x:f>
        <x:v>#NUM!</x:v>
      </x:c>
    </x:row>
    <x:row r="14">
      <x:c r="A14" s="74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  <x:c r="L14" s="60"/>
      <x:c r="M14" t="e">
        <x:f>YEAR(A14)&amp;"-S"&amp;TEXT(WEEKNUM(A14,2),"00")</x:f>
        <x:v>#NUM!</x:v>
      </x:c>
    </x:row>
    <x:row r="15">
      <x:c r="A15" s="74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60"/>
      <x:c r="M15" t="e">
        <x:f>YEAR(A15)&amp;"-S"&amp;TEXT(WEEKNUM(A15,2),"00")</x:f>
        <x:v>#NUM!</x:v>
      </x:c>
    </x:row>
    <x:row r="16">
      <x:c r="A16" s="74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60"/>
      <x:c r="M16" t="e">
        <x:f>YEAR(A16)&amp;"-S"&amp;TEXT(WEEKNUM(A16,2),"00")</x:f>
        <x:v>#NUM!</x:v>
      </x:c>
    </x:row>
    <x:row r="17">
      <x:c r="A17" s="74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60"/>
      <x:c r="M17" t="e">
        <x:f>YEAR(A17)&amp;"-S"&amp;TEXT(WEEKNUM(A17,2),"00")</x:f>
        <x:v>#NUM!</x:v>
      </x:c>
    </x:row>
    <x:row r="18">
      <x:c r="A18" s="74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60"/>
      <x:c r="M18" t="e">
        <x:f>YEAR(A18)&amp;"-S"&amp;TEXT(WEEKNUM(A18,2),"00")</x:f>
        <x:v>#NUM!</x:v>
      </x:c>
    </x:row>
    <x:row r="19">
      <x:c r="A19" s="74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60"/>
      <x:c r="M19" t="e">
        <x:f>YEAR(A19)&amp;"-S"&amp;TEXT(WEEKNUM(A19,2),"00")</x:f>
        <x:v>#NUM!</x:v>
      </x:c>
    </x:row>
    <x:row r="20">
      <x:c r="A20" s="74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60"/>
      <x:c r="M20" t="e">
        <x:f>YEAR(A20)&amp;"-S"&amp;TEXT(WEEKNUM(A20,2),"00")</x:f>
        <x:v>#NUM!</x:v>
      </x:c>
    </x:row>
    <x:row r="21">
      <x:c r="A21" s="74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60"/>
      <x:c r="M21" t="e">
        <x:f>YEAR(A21)&amp;"-S"&amp;TEXT(WEEKNUM(A21,2),"00")</x:f>
        <x:v>#NUM!</x:v>
      </x:c>
    </x:row>
    <x:row r="22">
      <x:c r="A22" s="74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60"/>
      <x:c r="M22" t="e">
        <x:f>YEAR(A22)&amp;"-S"&amp;TEXT(WEEKNUM(A22,2),"00")</x:f>
        <x:v>#NUM!</x:v>
      </x:c>
    </x:row>
    <x:row r="23">
      <x:c r="A23" s="74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60"/>
      <x:c r="M23" t="e">
        <x:f>YEAR(A23)&amp;"-S"&amp;TEXT(WEEKNUM(A23,2),"00")</x:f>
        <x:v>#NUM!</x:v>
      </x:c>
    </x:row>
    <x:row r="24">
      <x:c r="A24" s="74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60"/>
      <x:c r="M24" t="e">
        <x:f>YEAR(A24)&amp;"-S"&amp;TEXT(WEEKNUM(A24,2),"00")</x:f>
        <x:v>#NUM!</x:v>
      </x:c>
    </x:row>
    <x:row r="25">
      <x:c r="A25" s="74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60"/>
      <x:c r="M25" t="e">
        <x:f>YEAR(A25)&amp;"-S"&amp;TEXT(WEEKNUM(A25,2),"00")</x:f>
        <x:v>#NUM!</x:v>
      </x:c>
    </x:row>
    <x:row r="26">
      <x:c r="A26" s="74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60"/>
      <x:c r="M26" t="e">
        <x:f>YEAR(A26)&amp;"-S"&amp;TEXT(WEEKNUM(A26,2),"00")</x:f>
        <x:v>#NUM!</x:v>
      </x:c>
    </x:row>
    <x:row r="27">
      <x:c r="A27" s="74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60"/>
      <x:c r="M27" t="e">
        <x:f>YEAR(A27)&amp;"-S"&amp;TEXT(WEEKNUM(A27,2),"00")</x:f>
        <x:v>#NUM!</x:v>
      </x:c>
    </x:row>
    <x:row r="28">
      <x:c r="A28" s="74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60"/>
      <x:c r="M28" t="e">
        <x:f>YEAR(A28)&amp;"-S"&amp;TEXT(WEEKNUM(A28,2),"00")</x:f>
        <x:v>#NUM!</x:v>
      </x:c>
    </x:row>
    <x:row r="29">
      <x:c r="A29" s="74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60"/>
      <x:c r="M29" t="e">
        <x:f>YEAR(A29)&amp;"-S"&amp;TEXT(WEEKNUM(A29,2),"00")</x:f>
        <x:v>#NUM!</x:v>
      </x:c>
    </x:row>
    <x:row r="30">
      <x:c r="A30" s="74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60"/>
      <x:c r="M30" t="e">
        <x:f>YEAR(A30)&amp;"-S"&amp;TEXT(WEEKNUM(A30,2),"00")</x:f>
        <x:v>#NUM!</x:v>
      </x:c>
    </x:row>
    <x:row r="31">
      <x:c r="A31" s="74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60"/>
      <x:c r="M31" t="e">
        <x:f>YEAR(A31)&amp;"-S"&amp;TEXT(WEEKNUM(A31,2),"00")</x:f>
        <x:v>#NUM!</x:v>
      </x:c>
    </x:row>
    <x:row r="32">
      <x:c r="A32" s="74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60"/>
      <x:c r="M32" t="e">
        <x:f>YEAR(A32)&amp;"-S"&amp;TEXT(WEEKNUM(A32,2),"00")</x:f>
        <x:v>#NUM!</x:v>
      </x:c>
    </x:row>
    <x:row r="33">
      <x:c r="A33" s="74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60"/>
      <x:c r="M33" t="e">
        <x:f>YEAR(A33)&amp;"-S"&amp;TEXT(WEEKNUM(A33,2),"00")</x:f>
        <x:v>#NUM!</x:v>
      </x:c>
    </x:row>
    <x:row r="34">
      <x:c r="A34" s="74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60"/>
      <x:c r="M34" t="e">
        <x:f>YEAR(A34)&amp;"-S"&amp;TEXT(WEEKNUM(A34,2),"00")</x:f>
        <x:v>#NUM!</x:v>
      </x:c>
    </x:row>
    <x:row r="35">
      <x:c r="A35" s="74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60"/>
      <x:c r="M35" t="e">
        <x:f>YEAR(A35)&amp;"-S"&amp;TEXT(WEEKNUM(A35,2),"00")</x:f>
        <x:v>#NUM!</x:v>
      </x:c>
    </x:row>
    <x:row r="36">
      <x:c r="A36" s="74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60"/>
      <x:c r="M36" t="e">
        <x:f>YEAR(A36)&amp;"-S"&amp;TEXT(WEEKNUM(A36,2),"00")</x:f>
        <x:v>#NUM!</x:v>
      </x:c>
    </x:row>
    <x:row r="37">
      <x:c r="A37" s="74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60"/>
      <x:c r="M37" t="e">
        <x:f>YEAR(A37)&amp;"-S"&amp;TEXT(WEEKNUM(A37,2),"00")</x:f>
        <x:v>#NUM!</x:v>
      </x:c>
    </x:row>
    <x:row r="38">
      <x:c r="A38" s="74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60"/>
      <x:c r="M38" t="e">
        <x:f>YEAR(A38)&amp;"-S"&amp;TEXT(WEEKNUM(A38,2),"00")</x:f>
        <x:v>#NUM!</x:v>
      </x:c>
    </x:row>
    <x:row r="39">
      <x:c r="A39" s="74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60"/>
      <x:c r="M39" t="e">
        <x:f>YEAR(A39)&amp;"-S"&amp;TEXT(WEEKNUM(A39,2),"00")</x:f>
        <x:v>#NUM!</x:v>
      </x:c>
    </x:row>
    <x:row r="40">
      <x:c r="A40" s="74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60"/>
      <x:c r="M40" t="e">
        <x:f>YEAR(A40)&amp;"-S"&amp;TEXT(WEEKNUM(A40,2),"00")</x:f>
        <x:v>#NUM!</x:v>
      </x:c>
    </x:row>
    <x:row r="41">
      <x:c r="A41" s="74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60"/>
      <x:c r="M41" t="e">
        <x:f>YEAR(A41)&amp;"-S"&amp;TEXT(WEEKNUM(A41,2),"00")</x:f>
        <x:v>#NUM!</x:v>
      </x:c>
    </x:row>
    <x:row r="42">
      <x:c r="A42" s="74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60"/>
      <x:c r="M42" t="e">
        <x:f>YEAR(A42)&amp;"-S"&amp;TEXT(WEEKNUM(A42,2),"00")</x:f>
        <x:v>#NUM!</x:v>
      </x:c>
    </x:row>
    <x:row r="43">
      <x:c r="A43" s="74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60"/>
      <x:c r="M43" t="e">
        <x:f>YEAR(A43)&amp;"-S"&amp;TEXT(WEEKNUM(A43,2),"00")</x:f>
        <x:v>#NUM!</x:v>
      </x:c>
    </x:row>
    <x:row r="44">
      <x:c r="A44" s="74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60"/>
      <x:c r="M44" t="e">
        <x:f>YEAR(A44)&amp;"-S"&amp;TEXT(WEEKNUM(A44,2),"00")</x:f>
        <x:v>#NUM!</x:v>
      </x:c>
    </x:row>
    <x:row r="45">
      <x:c r="A45" s="74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60"/>
      <x:c r="M45" t="e">
        <x:f>YEAR(A45)&amp;"-S"&amp;TEXT(WEEKNUM(A45,2),"00")</x:f>
        <x:v>#NUM!</x:v>
      </x:c>
    </x:row>
    <x:row r="46">
      <x:c r="A46" s="74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60"/>
      <x:c r="M46" t="e">
        <x:f>YEAR(A46)&amp;"-S"&amp;TEXT(WEEKNUM(A46,2),"00")</x:f>
        <x:v>#NUM!</x:v>
      </x:c>
    </x:row>
    <x:row r="47">
      <x:c r="A47" s="74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60"/>
      <x:c r="M47" t="e">
        <x:f>YEAR(A47)&amp;"-S"&amp;TEXT(WEEKNUM(A47,2),"00")</x:f>
        <x:v>#NUM!</x:v>
      </x:c>
    </x:row>
    <x:row r="48">
      <x:c r="A48" s="74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60"/>
      <x:c r="M48" t="e">
        <x:f>YEAR(A48)&amp;"-S"&amp;TEXT(WEEKNUM(A48,2),"00")</x:f>
        <x:v>#NUM!</x:v>
      </x:c>
    </x:row>
    <x:row r="49">
      <x:c r="A49" s="74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60"/>
      <x:c r="M49" t="e">
        <x:f>YEAR(A49)&amp;"-S"&amp;TEXT(WEEKNUM(A49,2),"00")</x:f>
        <x:v>#NUM!</x:v>
      </x:c>
    </x:row>
    <x:row r="50">
      <x:c r="A50" s="74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60"/>
      <x:c r="M50" t="e">
        <x:f>YEAR(A50)&amp;"-S"&amp;TEXT(WEEKNUM(A50,2),"00")</x:f>
        <x:v>#NUM!</x:v>
      </x:c>
    </x:row>
    <x:row r="51">
      <x:c r="A51" s="74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60"/>
      <x:c r="M51" t="e">
        <x:f>YEAR(A51)&amp;"-S"&amp;TEXT(WEEKNUM(A51,2),"00")</x:f>
        <x:v>#NUM!</x:v>
      </x:c>
    </x:row>
    <x:row r="52">
      <x:c r="A52" s="74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60"/>
      <x:c r="M52" t="e">
        <x:f>YEAR(A52)&amp;"-S"&amp;TEXT(WEEKNUM(A52,2),"00")</x:f>
        <x:v>#NUM!</x:v>
      </x:c>
    </x:row>
    <x:row r="53">
      <x:c r="A53" s="74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60"/>
      <x:c r="M53" t="e">
        <x:f>YEAR(A53)&amp;"-S"&amp;TEXT(WEEKNUM(A53,2),"00")</x:f>
        <x:v>#NUM!</x:v>
      </x:c>
    </x:row>
    <x:row r="54">
      <x:c r="A54" s="74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60"/>
      <x:c r="M54" t="e">
        <x:f>YEAR(A54)&amp;"-S"&amp;TEXT(WEEKNUM(A54,2),"00")</x:f>
        <x:v>#NUM!</x:v>
      </x:c>
    </x:row>
    <x:row r="55">
      <x:c r="A55" s="74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60"/>
      <x:c r="M55" t="e">
        <x:f>YEAR(A55)&amp;"-S"&amp;TEXT(WEEKNUM(A55,2),"00")</x:f>
        <x:v>#NUM!</x:v>
      </x:c>
    </x:row>
    <x:row r="56">
      <x:c r="A56" s="74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60"/>
      <x:c r="M56" t="e">
        <x:f>YEAR(A56)&amp;"-S"&amp;TEXT(WEEKNUM(A56,2),"00")</x:f>
        <x:v>#NUM!</x:v>
      </x:c>
    </x:row>
    <x:row r="57">
      <x:c r="A57" s="74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60"/>
      <x:c r="M57" t="e">
        <x:f>YEAR(A57)&amp;"-S"&amp;TEXT(WEEKNUM(A57,2),"00")</x:f>
        <x:v>#NUM!</x:v>
      </x:c>
    </x:row>
    <x:row r="58">
      <x:c r="A58" s="74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60"/>
      <x:c r="M58" t="e">
        <x:f>YEAR(A58)&amp;"-S"&amp;TEXT(WEEKNUM(A58,2),"00")</x:f>
        <x:v>#NUM!</x:v>
      </x:c>
    </x:row>
    <x:row r="59">
      <x:c r="A59" s="74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60"/>
      <x:c r="M59" t="e">
        <x:f>YEAR(A59)&amp;"-S"&amp;TEXT(WEEKNUM(A59,2),"00")</x:f>
        <x:v>#NUM!</x:v>
      </x:c>
    </x:row>
    <x:row r="60">
      <x:c r="A60" s="74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60"/>
      <x:c r="M60" t="e">
        <x:f>YEAR(A60)&amp;"-S"&amp;TEXT(WEEKNUM(A60,2),"00")</x:f>
        <x:v>#NUM!</x:v>
      </x:c>
    </x:row>
    <x:row r="61">
      <x:c r="A61" s="74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60"/>
      <x:c r="M61" t="e">
        <x:f>YEAR(A61)&amp;"-S"&amp;TEXT(WEEKNUM(A61,2),"00")</x:f>
        <x:v>#NUM!</x:v>
      </x:c>
    </x:row>
    <x:row r="62">
      <x:c r="A62" s="74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60"/>
      <x:c r="M62" t="e">
        <x:f>YEAR(A62)&amp;"-S"&amp;TEXT(WEEKNUM(A62,2),"00")</x:f>
        <x:v>#NUM!</x:v>
      </x:c>
    </x:row>
    <x:row r="63">
      <x:c r="A63" s="74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60"/>
      <x:c r="M63" t="e">
        <x:f>YEAR(A63)&amp;"-S"&amp;TEXT(WEEKNUM(A63,2),"00")</x:f>
        <x:v>#NUM!</x:v>
      </x:c>
    </x:row>
    <x:row r="64">
      <x:c r="A64" s="74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60"/>
      <x:c r="M64" t="e">
        <x:f>YEAR(A64)&amp;"-S"&amp;TEXT(WEEKNUM(A64,2),"00")</x:f>
        <x:v>#NUM!</x:v>
      </x:c>
    </x:row>
    <x:row r="65">
      <x:c r="A65" s="74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60"/>
      <x:c r="M65" t="e">
        <x:f>YEAR(A65)&amp;"-S"&amp;TEXT(WEEKNUM(A65,2),"00")</x:f>
        <x:v>#NUM!</x:v>
      </x:c>
    </x:row>
    <x:row r="66">
      <x:c r="A66" s="74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60"/>
      <x:c r="M66" t="e">
        <x:f>YEAR(A66)&amp;"-S"&amp;TEXT(WEEKNUM(A66,2),"00")</x:f>
        <x:v>#NUM!</x:v>
      </x:c>
    </x:row>
    <x:row r="67">
      <x:c r="A67" s="74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60"/>
      <x:c r="M67" t="e">
        <x:f>YEAR(A67)&amp;"-S"&amp;TEXT(WEEKNUM(A67,2),"00")</x:f>
        <x:v>#NUM!</x:v>
      </x:c>
    </x:row>
    <x:row r="68">
      <x:c r="A68" s="74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60"/>
      <x:c r="M68" t="e">
        <x:f>YEAR(A68)&amp;"-S"&amp;TEXT(WEEKNUM(A68,2),"00")</x:f>
        <x:v>#NUM!</x:v>
      </x:c>
    </x:row>
    <x:row r="69">
      <x:c r="A69" s="74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60"/>
      <x:c r="M69" t="e">
        <x:f>YEAR(A69)&amp;"-S"&amp;TEXT(WEEKNUM(A69,2),"00")</x:f>
        <x:v>#NUM!</x:v>
      </x:c>
    </x:row>
    <x:row r="70">
      <x:c r="A70" s="74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60"/>
      <x:c r="M70" t="e">
        <x:f>YEAR(A70)&amp;"-S"&amp;TEXT(WEEKNUM(A70,2),"00")</x:f>
        <x:v>#NUM!</x:v>
      </x:c>
    </x:row>
    <x:row r="71">
      <x:c r="A71" s="74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60"/>
      <x:c r="M71" t="e">
        <x:f>YEAR(A71)&amp;"-S"&amp;TEXT(WEEKNUM(A71,2),"00")</x:f>
        <x:v>#NUM!</x:v>
      </x:c>
    </x:row>
    <x:row r="72">
      <x:c r="A72" s="74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60"/>
      <x:c r="M72" t="e">
        <x:f>YEAR(A72)&amp;"-S"&amp;TEXT(WEEKNUM(A72,2),"00")</x:f>
        <x:v>#NUM!</x:v>
      </x:c>
    </x:row>
    <x:row r="73">
      <x:c r="A73" s="74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60"/>
      <x:c r="M73" t="e">
        <x:f>YEAR(A73)&amp;"-S"&amp;TEXT(WEEKNUM(A73,2),"00")</x:f>
        <x:v>#NUM!</x:v>
      </x:c>
    </x:row>
    <x:row r="74">
      <x:c r="A74" s="74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60"/>
      <x:c r="M74" t="e">
        <x:f>YEAR(A74)&amp;"-S"&amp;TEXT(WEEKNUM(A74,2),"00")</x:f>
        <x:v>#NUM!</x:v>
      </x:c>
    </x:row>
    <x:row r="75">
      <x:c r="A75" s="74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60"/>
      <x:c r="M75" t="e">
        <x:f>YEAR(A75)&amp;"-S"&amp;TEXT(WEEKNUM(A75,2),"00")</x:f>
        <x:v>#NUM!</x:v>
      </x:c>
    </x:row>
    <x:row r="76">
      <x:c r="A76" s="74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60"/>
      <x:c r="M76" t="e">
        <x:f>YEAR(A76)&amp;"-S"&amp;TEXT(WEEKNUM(A76,2),"00")</x:f>
        <x:v>#NUM!</x:v>
      </x:c>
    </x:row>
    <x:row r="77">
      <x:c r="A77" s="74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60"/>
      <x:c r="M77" t="e">
        <x:f>YEAR(A77)&amp;"-S"&amp;TEXT(WEEKNUM(A77,2),"00")</x:f>
        <x:v>#NUM!</x:v>
      </x:c>
    </x:row>
    <x:row r="78">
      <x:c r="A78" s="74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60"/>
      <x:c r="M78" t="e">
        <x:f>YEAR(A78)&amp;"-S"&amp;TEXT(WEEKNUM(A78,2),"00")</x:f>
        <x:v>#NUM!</x:v>
      </x:c>
    </x:row>
    <x:row r="79">
      <x:c r="A79" s="74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60"/>
      <x:c r="M79" t="e">
        <x:f>YEAR(A79)&amp;"-S"&amp;TEXT(WEEKNUM(A79,2),"00")</x:f>
        <x:v>#NUM!</x:v>
      </x:c>
    </x:row>
    <x:row r="80">
      <x:c r="A80" s="74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60"/>
      <x:c r="M80" t="e">
        <x:f>YEAR(A80)&amp;"-S"&amp;TEXT(WEEKNUM(A80,2),"00")</x:f>
        <x:v>#NUM!</x:v>
      </x:c>
    </x:row>
    <x:row r="81">
      <x:c r="A81" s="74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60"/>
      <x:c r="M81" t="e">
        <x:f>YEAR(A81)&amp;"-S"&amp;TEXT(WEEKNUM(A81,2),"00")</x:f>
        <x:v>#NUM!</x:v>
      </x:c>
    </x:row>
    <x:row r="82">
      <x:c r="A82" s="74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60"/>
      <x:c r="M82" t="e">
        <x:f>YEAR(A82)&amp;"-S"&amp;TEXT(WEEKNUM(A82,2),"00")</x:f>
        <x:v>#NUM!</x:v>
      </x:c>
    </x:row>
    <x:row r="83">
      <x:c r="A83" s="74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60"/>
      <x:c r="M83" t="e">
        <x:f>YEAR(A83)&amp;"-S"&amp;TEXT(WEEKNUM(A83,2),"00")</x:f>
        <x:v>#NUM!</x:v>
      </x:c>
    </x:row>
    <x:row r="84">
      <x:c r="A84" s="74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60"/>
      <x:c r="M84" t="e">
        <x:f>YEAR(A84)&amp;"-S"&amp;TEXT(WEEKNUM(A84,2),"00")</x:f>
        <x:v>#NUM!</x:v>
      </x:c>
    </x:row>
    <x:row r="85">
      <x:c r="A85" s="74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60"/>
      <x:c r="M85" t="e">
        <x:f>YEAR(A85)&amp;"-S"&amp;TEXT(WEEKNUM(A85,2),"00")</x:f>
        <x:v>#NUM!</x:v>
      </x:c>
    </x:row>
    <x:row r="86">
      <x:c r="A86" s="74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60"/>
      <x:c r="M86" t="e">
        <x:f>YEAR(A86)&amp;"-S"&amp;TEXT(WEEKNUM(A86,2),"00")</x:f>
        <x:v>#NUM!</x:v>
      </x:c>
    </x:row>
    <x:row r="87">
      <x:c r="A87" s="74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60"/>
      <x:c r="M87" t="e">
        <x:f>YEAR(A87)&amp;"-S"&amp;TEXT(WEEKNUM(A87,2),"00")</x:f>
        <x:v>#NUM!</x:v>
      </x:c>
    </x:row>
    <x:row r="88">
      <x:c r="A88" s="74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60"/>
      <x:c r="M88" t="e">
        <x:f>YEAR(A88)&amp;"-S"&amp;TEXT(WEEKNUM(A88,2),"00")</x:f>
        <x:v>#NUM!</x:v>
      </x:c>
    </x:row>
    <x:row r="89">
      <x:c r="A89" s="74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60"/>
      <x:c r="M89" t="e">
        <x:f>YEAR(A89)&amp;"-S"&amp;TEXT(WEEKNUM(A89,2),"00")</x:f>
        <x:v>#NUM!</x:v>
      </x:c>
    </x:row>
    <x:row r="90">
      <x:c r="A90" s="74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60"/>
      <x:c r="M90" t="e">
        <x:f>YEAR(A90)&amp;"-S"&amp;TEXT(WEEKNUM(A90,2),"00")</x:f>
        <x:v>#NUM!</x:v>
      </x:c>
    </x:row>
    <x:row r="91">
      <x:c r="A91" s="74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60"/>
      <x:c r="M91" t="e">
        <x:f>YEAR(A91)&amp;"-S"&amp;TEXT(WEEKNUM(A91,2),"00")</x:f>
        <x:v>#NUM!</x:v>
      </x:c>
    </x:row>
    <x:row r="92">
      <x:c r="A92" s="74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60"/>
      <x:c r="M92" t="e">
        <x:f>YEAR(A92)&amp;"-S"&amp;TEXT(WEEKNUM(A92,2),"00")</x:f>
        <x:v>#NUM!</x:v>
      </x:c>
    </x:row>
    <x:row r="93">
      <x:c r="A93" s="74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60"/>
      <x:c r="M93" t="e">
        <x:f>YEAR(A93)&amp;"-S"&amp;TEXT(WEEKNUM(A93,2),"00")</x:f>
        <x:v>#NUM!</x:v>
      </x:c>
    </x:row>
    <x:row r="94">
      <x:c r="A94" s="74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60"/>
      <x:c r="M94" t="e">
        <x:f>YEAR(A94)&amp;"-S"&amp;TEXT(WEEKNUM(A94,2),"00")</x:f>
        <x:v>#NUM!</x:v>
      </x:c>
    </x:row>
    <x:row r="95">
      <x:c r="A95" s="74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60"/>
      <x:c r="M95" t="e">
        <x:f>YEAR(A95)&amp;"-S"&amp;TEXT(WEEKNUM(A95,2),"00")</x:f>
        <x:v>#NUM!</x:v>
      </x:c>
    </x:row>
    <x:row r="96">
      <x:c r="A96" s="74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60"/>
      <x:c r="M96" t="e">
        <x:f>YEAR(A96)&amp;"-S"&amp;TEXT(WEEKNUM(A96,2),"00")</x:f>
        <x:v>#NUM!</x:v>
      </x:c>
    </x:row>
    <x:row r="97">
      <x:c r="A97" s="74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60"/>
      <x:c r="M97" t="e">
        <x:f>YEAR(A97)&amp;"-S"&amp;TEXT(WEEKNUM(A97,2),"00")</x:f>
        <x:v>#NUM!</x:v>
      </x:c>
    </x:row>
    <x:row r="98">
      <x:c r="A98" s="74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60"/>
      <x:c r="M98" t="e">
        <x:f>YEAR(A98)&amp;"-S"&amp;TEXT(WEEKNUM(A98,2),"00")</x:f>
        <x:v>#NUM!</x:v>
      </x:c>
    </x:row>
    <x:row r="99">
      <x:c r="A99" s="74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60"/>
      <x:c r="M99" t="e">
        <x:f>YEAR(A99)&amp;"-S"&amp;TEXT(WEEKNUM(A99,2),"00")</x:f>
        <x:v>#NUM!</x:v>
      </x:c>
    </x:row>
    <x:row r="100">
      <x:c r="A100" s="74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60"/>
      <x:c r="M100" t="e">
        <x:f>YEAR(A100)&amp;"-S"&amp;TEXT(WEEKNUM(A100,2),"00")</x:f>
        <x:v>#NUM!</x:v>
      </x:c>
    </x:row>
    <x:row r="101">
      <x:c r="A101" s="74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60"/>
      <x:c r="M101" t="e">
        <x:f>YEAR(A101)&amp;"-S"&amp;TEXT(WEEKNUM(A101,2),"00")</x:f>
        <x:v>#NUM!</x:v>
      </x:c>
    </x:row>
    <x:row r="102">
      <x:c r="A102" s="74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60"/>
      <x:c r="M102" t="e">
        <x:f>YEAR(A102)&amp;"-S"&amp;TEXT(WEEKNUM(A102,2),"00")</x:f>
        <x:v>#NUM!</x:v>
      </x:c>
    </x:row>
    <x:row r="103">
      <x:c r="A103" s="74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60"/>
      <x:c r="M103" t="e">
        <x:f>YEAR(A103)&amp;"-S"&amp;TEXT(WEEKNUM(A103,2),"00")</x:f>
        <x:v>#NUM!</x:v>
      </x:c>
    </x:row>
    <x:row r="104">
      <x:c r="A104" s="74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60"/>
      <x:c r="M104" t="e">
        <x:f>YEAR(A104)&amp;"-S"&amp;TEXT(WEEKNUM(A104,2),"00")</x:f>
        <x:v>#NUM!</x:v>
      </x:c>
    </x:row>
    <x:row r="105">
      <x:c r="A105" s="74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60"/>
      <x:c r="M105" t="e">
        <x:f>YEAR(A105)&amp;"-S"&amp;TEXT(WEEKNUM(A105,2),"00")</x:f>
        <x:v>#NUM!</x:v>
      </x:c>
    </x:row>
    <x:row r="106">
      <x:c r="A106" s="74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60"/>
      <x:c r="M106" t="e">
        <x:f>YEAR(A106)&amp;"-S"&amp;TEXT(WEEKNUM(A106,2),"00")</x:f>
        <x:v>#NUM!</x:v>
      </x:c>
    </x:row>
    <x:row r="107">
      <x:c r="A107" s="74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60"/>
      <x:c r="M107" t="e">
        <x:f>YEAR(A107)&amp;"-S"&amp;TEXT(WEEKNUM(A107,2),"00")</x:f>
        <x:v>#NUM!</x:v>
      </x:c>
    </x:row>
    <x:row r="108">
      <x:c r="A108" s="74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60"/>
      <x:c r="M108" t="e">
        <x:f>YEAR(A108)&amp;"-S"&amp;TEXT(WEEKNUM(A108,2),"00")</x:f>
        <x:v>#NUM!</x:v>
      </x:c>
    </x:row>
    <x:row r="109">
      <x:c r="A109" s="74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60"/>
      <x:c r="M109" t="e">
        <x:f>YEAR(A109)&amp;"-S"&amp;TEXT(WEEKNUM(A109,2),"00")</x:f>
        <x:v>#NUM!</x:v>
      </x:c>
    </x:row>
    <x:row r="110">
      <x:c r="A110" s="74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60"/>
      <x:c r="M110" t="e">
        <x:f>YEAR(A110)&amp;"-S"&amp;TEXT(WEEKNUM(A110,2),"00")</x:f>
        <x:v>#NUM!</x:v>
      </x:c>
    </x:row>
    <x:row r="111">
      <x:c r="A111" s="74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60"/>
      <x:c r="M111" t="e">
        <x:f>YEAR(A111)&amp;"-S"&amp;TEXT(WEEKNUM(A111,2),"00")</x:f>
        <x:v>#NUM!</x:v>
      </x:c>
    </x:row>
    <x:row r="112">
      <x:c r="A112" s="74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60"/>
      <x:c r="M112" t="e">
        <x:f>YEAR(A112)&amp;"-S"&amp;TEXT(WEEKNUM(A112,2),"00")</x:f>
        <x:v>#NUM!</x:v>
      </x:c>
    </x:row>
    <x:row r="113">
      <x:c r="A113" s="74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60"/>
      <x:c r="M113" t="e">
        <x:f>YEAR(A113)&amp;"-S"&amp;TEXT(WEEKNUM(A113,2),"00")</x:f>
        <x:v>#NUM!</x:v>
      </x:c>
    </x:row>
    <x:row r="114">
      <x:c r="A114" s="74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60"/>
      <x:c r="M114" t="e">
        <x:f>YEAR(A114)&amp;"-S"&amp;TEXT(WEEKNUM(A114,2),"00")</x:f>
        <x:v>#NUM!</x:v>
      </x:c>
    </x:row>
    <x:row r="115">
      <x:c r="A115" s="74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60"/>
      <x:c r="M115" t="e">
        <x:f>YEAR(A115)&amp;"-S"&amp;TEXT(WEEKNUM(A115,2),"00")</x:f>
        <x:v>#NUM!</x:v>
      </x:c>
    </x:row>
    <x:row r="116">
      <x:c r="A116" s="74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60"/>
      <x:c r="M116" t="e">
        <x:f>YEAR(A116)&amp;"-S"&amp;TEXT(WEEKNUM(A116,2),"00")</x:f>
        <x:v>#NUM!</x:v>
      </x:c>
    </x:row>
    <x:row r="117">
      <x:c r="A117" s="74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60"/>
      <x:c r="M117" t="e">
        <x:f>YEAR(A117)&amp;"-S"&amp;TEXT(WEEKNUM(A117,2),"00")</x:f>
        <x:v>#NUM!</x:v>
      </x:c>
    </x:row>
    <x:row r="118">
      <x:c r="A118" s="74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60"/>
      <x:c r="M118" t="e">
        <x:f>YEAR(A118)&amp;"-S"&amp;TEXT(WEEKNUM(A118,2),"00")</x:f>
        <x:v>#NUM!</x:v>
      </x:c>
    </x:row>
    <x:row r="119">
      <x:c r="A119" s="74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60"/>
      <x:c r="M119" t="e">
        <x:f>YEAR(A119)&amp;"-S"&amp;TEXT(WEEKNUM(A119,2),"00")</x:f>
        <x:v>#NUM!</x:v>
      </x:c>
    </x:row>
    <x:row r="120">
      <x:c r="A120" s="74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60"/>
      <x:c r="M120" t="e">
        <x:f>YEAR(A120)&amp;"-S"&amp;TEXT(WEEKNUM(A120,2),"00")</x:f>
        <x:v>#NUM!</x:v>
      </x:c>
    </x:row>
    <x:row r="121">
      <x:c r="A121" s="74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60"/>
      <x:c r="M121" t="e">
        <x:f>YEAR(A121)&amp;"-S"&amp;TEXT(WEEKNUM(A121,2),"00")</x:f>
        <x:v>#NUM!</x:v>
      </x:c>
    </x:row>
    <x:row r="122">
      <x:c r="A122" s="74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60"/>
      <x:c r="M122" t="e">
        <x:f>YEAR(A122)&amp;"-S"&amp;TEXT(WEEKNUM(A122,2),"00")</x:f>
        <x:v>#NUM!</x:v>
      </x:c>
    </x:row>
    <x:row r="123">
      <x:c r="A123" s="74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60"/>
      <x:c r="M123" t="e">
        <x:f>YEAR(A123)&amp;"-S"&amp;TEXT(WEEKNUM(A123,2),"00")</x:f>
        <x:v>#NUM!</x:v>
      </x:c>
    </x:row>
    <x:row r="124">
      <x:c r="A124" s="74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60"/>
      <x:c r="M124" t="e">
        <x:f>YEAR(A124)&amp;"-S"&amp;TEXT(WEEKNUM(A124,2),"00")</x:f>
        <x:v>#NUM!</x:v>
      </x:c>
    </x:row>
    <x:row r="125">
      <x:c r="A125" s="74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60"/>
      <x:c r="M125" t="e">
        <x:f>YEAR(A125)&amp;"-S"&amp;TEXT(WEEKNUM(A125,2),"00")</x:f>
        <x:v>#NUM!</x:v>
      </x:c>
    </x:row>
    <x:row r="126">
      <x:c r="A126" s="74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60"/>
      <x:c r="M126" t="e">
        <x:f>YEAR(A126)&amp;"-S"&amp;TEXT(WEEKNUM(A126,2),"00")</x:f>
        <x:v>#NUM!</x:v>
      </x:c>
    </x:row>
    <x:row r="127">
      <x:c r="A127" s="74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60"/>
      <x:c r="M127" t="e">
        <x:f>YEAR(A127)&amp;"-S"&amp;TEXT(WEEKNUM(A127,2),"00")</x:f>
        <x:v>#NUM!</x:v>
      </x:c>
    </x:row>
    <x:row r="128">
      <x:c r="A128" s="74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60"/>
      <x:c r="M128" t="e">
        <x:f>YEAR(A128)&amp;"-S"&amp;TEXT(WEEKNUM(A128,2),"00")</x:f>
        <x:v>#NUM!</x:v>
      </x:c>
    </x:row>
    <x:row r="129">
      <x:c r="A129" s="74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60"/>
      <x:c r="M129" t="e">
        <x:f>YEAR(A129)&amp;"-S"&amp;TEXT(WEEKNUM(A129,2),"00")</x:f>
        <x:v>#NUM!</x:v>
      </x:c>
    </x:row>
    <x:row r="130">
      <x:c r="A130" s="74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60"/>
      <x:c r="M130" t="e">
        <x:f>YEAR(A130)&amp;"-S"&amp;TEXT(WEEKNUM(A130,2),"00")</x:f>
        <x:v>#NUM!</x:v>
      </x:c>
    </x:row>
    <x:row r="131">
      <x:c r="A131" s="74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60"/>
      <x:c r="M131" t="e">
        <x:f>YEAR(A131)&amp;"-S"&amp;TEXT(WEEKNUM(A131,2),"00")</x:f>
        <x:v>#NUM!</x:v>
      </x:c>
    </x:row>
    <x:row r="132">
      <x:c r="A132" s="74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60"/>
      <x:c r="M132" t="e">
        <x:f>YEAR(A132)&amp;"-S"&amp;TEXT(WEEKNUM(A132,2),"00")</x:f>
        <x:v>#NUM!</x:v>
      </x:c>
    </x:row>
    <x:row r="133">
      <x:c r="A133" s="74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60"/>
      <x:c r="M133" t="e">
        <x:f>YEAR(A133)&amp;"-S"&amp;TEXT(WEEKNUM(A133,2),"00")</x:f>
        <x:v>#NUM!</x:v>
      </x:c>
    </x:row>
    <x:row r="134">
      <x:c r="A134" s="74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60"/>
      <x:c r="M134" t="e">
        <x:f>YEAR(A134)&amp;"-S"&amp;TEXT(WEEKNUM(A134,2),"00")</x:f>
        <x:v>#NUM!</x:v>
      </x:c>
    </x:row>
    <x:row r="135">
      <x:c r="A135" s="74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60"/>
      <x:c r="M135" t="e">
        <x:f>YEAR(A135)&amp;"-S"&amp;TEXT(WEEKNUM(A135,2),"00")</x:f>
        <x:v>#NUM!</x:v>
      </x:c>
    </x:row>
    <x:row r="136">
      <x:c r="A136" s="74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60"/>
      <x:c r="M136" t="e">
        <x:f>YEAR(A136)&amp;"-S"&amp;TEXT(WEEKNUM(A136,2),"00")</x:f>
        <x:v>#NUM!</x:v>
      </x:c>
    </x:row>
    <x:row r="137">
      <x:c r="A137" s="74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60"/>
      <x:c r="M137" t="e">
        <x:f>YEAR(A137)&amp;"-S"&amp;TEXT(WEEKNUM(A137,2),"00")</x:f>
        <x:v>#NUM!</x:v>
      </x:c>
    </x:row>
    <x:row r="138">
      <x:c r="A138" s="74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60"/>
      <x:c r="M138" t="e">
        <x:f>YEAR(A138)&amp;"-S"&amp;TEXT(WEEKNUM(A138,2),"00")</x:f>
        <x:v>#NUM!</x:v>
      </x:c>
    </x:row>
    <x:row r="139">
      <x:c r="A139" s="74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60"/>
      <x:c r="M139" t="e">
        <x:f>YEAR(A139)&amp;"-S"&amp;TEXT(WEEKNUM(A139,2),"00")</x:f>
        <x:v>#NUM!</x:v>
      </x:c>
    </x:row>
    <x:row r="140">
      <x:c r="A140" s="74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60"/>
      <x:c r="M140" t="e">
        <x:f>YEAR(A140)&amp;"-S"&amp;TEXT(WEEKNUM(A140,2),"00")</x:f>
        <x:v>#NUM!</x:v>
      </x:c>
    </x:row>
    <x:row r="141">
      <x:c r="A141" s="74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60"/>
      <x:c r="M141" t="e">
        <x:f>YEAR(A141)&amp;"-S"&amp;TEXT(WEEKNUM(A141,2),"00")</x:f>
        <x:v>#NUM!</x:v>
      </x:c>
    </x:row>
    <x:row r="142">
      <x:c r="A142" s="74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60"/>
      <x:c r="M142" t="e">
        <x:f>YEAR(A142)&amp;"-S"&amp;TEXT(WEEKNUM(A142,2),"00")</x:f>
        <x:v>#NUM!</x:v>
      </x:c>
    </x:row>
    <x:row r="143">
      <x:c r="A143" s="74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60"/>
      <x:c r="M143" t="e">
        <x:f>YEAR(A143)&amp;"-S"&amp;TEXT(WEEKNUM(A143,2),"00")</x:f>
        <x:v>#NUM!</x:v>
      </x:c>
    </x:row>
    <x:row r="144">
      <x:c r="A144" s="74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60"/>
      <x:c r="M144" t="e">
        <x:f>YEAR(A144)&amp;"-S"&amp;TEXT(WEEKNUM(A144,2),"00")</x:f>
        <x:v>#NUM!</x:v>
      </x:c>
    </x:row>
    <x:row r="145">
      <x:c r="A145" s="74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60"/>
      <x:c r="M145" t="e">
        <x:f>YEAR(A145)&amp;"-S"&amp;TEXT(WEEKNUM(A145,2),"00")</x:f>
        <x:v>#NUM!</x:v>
      </x:c>
    </x:row>
    <x:row r="146">
      <x:c r="A146" s="74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60"/>
      <x:c r="M146" t="e">
        <x:f>YEAR(A146)&amp;"-S"&amp;TEXT(WEEKNUM(A146,2),"00")</x:f>
        <x:v>#NUM!</x:v>
      </x:c>
    </x:row>
    <x:row r="147">
      <x:c r="A147" s="74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60"/>
      <x:c r="M147" t="e">
        <x:f>YEAR(A147)&amp;"-S"&amp;TEXT(WEEKNUM(A147,2),"00")</x:f>
        <x:v>#NUM!</x:v>
      </x:c>
    </x:row>
    <x:row r="148">
      <x:c r="A148" s="74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60"/>
      <x:c r="M148" t="e">
        <x:f>YEAR(A148)&amp;"-S"&amp;TEXT(WEEKNUM(A148,2),"00")</x:f>
        <x:v>#NUM!</x:v>
      </x:c>
    </x:row>
    <x:row r="149">
      <x:c r="A149" s="74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60"/>
      <x:c r="M149" t="e">
        <x:f>YEAR(A149)&amp;"-S"&amp;TEXT(WEEKNUM(A149,2),"00")</x:f>
        <x:v>#NUM!</x:v>
      </x:c>
    </x:row>
    <x:row r="150">
      <x:c r="A150" s="74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60"/>
      <x:c r="M150" t="e">
        <x:f>YEAR(A150)&amp;"-S"&amp;TEXT(WEEKNUM(A150,2),"00")</x:f>
        <x:v>#NUM!</x:v>
      </x:c>
    </x:row>
    <x:row r="151">
      <x:c r="A151" s="74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60"/>
      <x:c r="M151" t="e">
        <x:f>YEAR(A151)&amp;"-S"&amp;TEXT(WEEKNUM(A151,2),"00")</x:f>
        <x:v>#NUM!</x:v>
      </x:c>
    </x:row>
    <x:row r="152">
      <x:c r="A152" s="74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60"/>
      <x:c r="M152" t="e">
        <x:f>YEAR(A152)&amp;"-S"&amp;TEXT(WEEKNUM(A152,2),"00")</x:f>
        <x:v>#NUM!</x:v>
      </x:c>
    </x:row>
    <x:row r="153">
      <x:c r="A153" s="74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60"/>
      <x:c r="M153" t="e">
        <x:f>YEAR(A153)&amp;"-S"&amp;TEXT(WEEKNUM(A153,2),"00")</x:f>
        <x:v>#NUM!</x:v>
      </x:c>
    </x:row>
    <x:row r="154">
      <x:c r="A154" s="74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60"/>
      <x:c r="M154" t="e">
        <x:f>YEAR(A154)&amp;"-S"&amp;TEXT(WEEKNUM(A154,2),"00")</x:f>
        <x:v>#NUM!</x:v>
      </x:c>
    </x:row>
    <x:row r="155">
      <x:c r="A155" s="74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60"/>
      <x:c r="M155" t="e">
        <x:f>YEAR(A155)&amp;"-S"&amp;TEXT(WEEKNUM(A155,2),"00")</x:f>
        <x:v>#NUM!</x:v>
      </x:c>
    </x:row>
    <x:row r="156">
      <x:c r="A156" s="74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60"/>
      <x:c r="M156" t="e">
        <x:f>YEAR(A156)&amp;"-S"&amp;TEXT(WEEKNUM(A156,2),"00")</x:f>
        <x:v>#NUM!</x:v>
      </x:c>
    </x:row>
    <x:row r="157">
      <x:c r="A157" s="74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60"/>
      <x:c r="M157" t="e">
        <x:f>YEAR(A157)&amp;"-S"&amp;TEXT(WEEKNUM(A157,2),"00")</x:f>
        <x:v>#NUM!</x:v>
      </x:c>
    </x:row>
    <x:row r="158">
      <x:c r="A158" s="74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60"/>
      <x:c r="M158" t="e">
        <x:f>YEAR(A158)&amp;"-S"&amp;TEXT(WEEKNUM(A158,2),"00")</x:f>
        <x:v>#NUM!</x:v>
      </x:c>
    </x:row>
    <x:row r="159">
      <x:c r="A159" s="74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60"/>
      <x:c r="M159" t="e">
        <x:f>YEAR(A159)&amp;"-S"&amp;TEXT(WEEKNUM(A159,2),"00")</x:f>
        <x:v>#NUM!</x:v>
      </x:c>
    </x:row>
    <x:row r="160">
      <x:c r="A160" s="74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60"/>
      <x:c r="M160" t="e">
        <x:f>YEAR(A160)&amp;"-S"&amp;TEXT(WEEKNUM(A160,2),"00")</x:f>
        <x:v>#NUM!</x:v>
      </x:c>
    </x:row>
    <x:row r="161">
      <x:c r="A161" s="74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60"/>
      <x:c r="M161" t="e">
        <x:f>YEAR(A161)&amp;"-S"&amp;TEXT(WEEKNUM(A161,2),"00")</x:f>
        <x:v>#NUM!</x:v>
      </x:c>
    </x:row>
    <x:row r="162">
      <x:c r="A162" s="74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60"/>
      <x:c r="M162" t="e">
        <x:f>YEAR(A162)&amp;"-S"&amp;TEXT(WEEKNUM(A162,2),"00")</x:f>
        <x:v>#NUM!</x:v>
      </x:c>
    </x:row>
    <x:row r="163">
      <x:c r="A163" s="74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60"/>
      <x:c r="M163" t="e">
        <x:f>YEAR(A163)&amp;"-S"&amp;TEXT(WEEKNUM(A163,2),"00")</x:f>
        <x:v>#NUM!</x:v>
      </x:c>
    </x:row>
    <x:row r="164">
      <x:c r="A164" s="74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60"/>
      <x:c r="M164" t="e">
        <x:f>YEAR(A164)&amp;"-S"&amp;TEXT(WEEKNUM(A164,2),"00")</x:f>
        <x:v>#NUM!</x:v>
      </x:c>
    </x:row>
    <x:row r="165">
      <x:c r="A165" s="74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60"/>
      <x:c r="M165" t="e">
        <x:f>YEAR(A165)&amp;"-S"&amp;TEXT(WEEKNUM(A165,2),"00")</x:f>
        <x:v>#NUM!</x:v>
      </x:c>
    </x:row>
    <x:row r="166">
      <x:c r="A166" s="74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60"/>
      <x:c r="M166" t="e">
        <x:f>YEAR(A166)&amp;"-S"&amp;TEXT(WEEKNUM(A166,2),"00")</x:f>
        <x:v>#NUM!</x:v>
      </x:c>
    </x:row>
    <x:row r="167">
      <x:c r="A167" s="74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60"/>
      <x:c r="M167" t="e">
        <x:f>YEAR(A167)&amp;"-S"&amp;TEXT(WEEKNUM(A167,2),"00")</x:f>
        <x:v>#NUM!</x:v>
      </x:c>
    </x:row>
    <x:row r="168">
      <x:c r="A168" s="74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60"/>
      <x:c r="M168" t="e">
        <x:f>YEAR(A168)&amp;"-S"&amp;TEXT(WEEKNUM(A168,2),"00")</x:f>
        <x:v>#NUM!</x:v>
      </x:c>
    </x:row>
    <x:row r="169">
      <x:c r="A169" s="74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60"/>
      <x:c r="M169" t="e">
        <x:f>YEAR(A169)&amp;"-S"&amp;TEXT(WEEKNUM(A169,2),"00")</x:f>
        <x:v>#NUM!</x:v>
      </x:c>
    </x:row>
    <x:row r="170">
      <x:c r="A170" s="74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60"/>
      <x:c r="M170" t="e">
        <x:f>YEAR(A170)&amp;"-S"&amp;TEXT(WEEKNUM(A170,2),"00")</x:f>
        <x:v>#NUM!</x:v>
      </x:c>
    </x:row>
    <x:row r="171">
      <x:c r="A171" s="74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60"/>
      <x:c r="M171" t="e">
        <x:f>YEAR(A171)&amp;"-S"&amp;TEXT(WEEKNUM(A171,2),"00")</x:f>
        <x:v>#NUM!</x:v>
      </x:c>
    </x:row>
    <x:row r="172">
      <x:c r="A172" s="74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60"/>
      <x:c r="M172" t="e">
        <x:f>YEAR(A172)&amp;"-S"&amp;TEXT(WEEKNUM(A172,2),"00")</x:f>
        <x:v>#NUM!</x:v>
      </x:c>
    </x:row>
    <x:row r="173">
      <x:c r="A173" s="74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60"/>
      <x:c r="M173" t="e">
        <x:f>YEAR(A173)&amp;"-S"&amp;TEXT(WEEKNUM(A173,2),"00")</x:f>
        <x:v>#NUM!</x:v>
      </x:c>
    </x:row>
    <x:row r="174">
      <x:c r="A174" s="74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60"/>
      <x:c r="M174" t="e">
        <x:f>YEAR(A174)&amp;"-S"&amp;TEXT(WEEKNUM(A174,2),"00")</x:f>
        <x:v>#NUM!</x:v>
      </x:c>
    </x:row>
    <x:row r="175">
      <x:c r="A175" s="74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60"/>
      <x:c r="M175" t="e">
        <x:f>YEAR(A175)&amp;"-S"&amp;TEXT(WEEKNUM(A175,2),"00")</x:f>
        <x:v>#NUM!</x:v>
      </x:c>
    </x:row>
    <x:row r="176">
      <x:c r="A176" s="74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60"/>
      <x:c r="M176" t="e">
        <x:f>YEAR(A176)&amp;"-S"&amp;TEXT(WEEKNUM(A176,2),"00")</x:f>
        <x:v>#NUM!</x:v>
      </x:c>
    </x:row>
    <x:row r="177">
      <x:c r="A177" s="74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60"/>
      <x:c r="M177" t="e">
        <x:f>YEAR(A177)&amp;"-S"&amp;TEXT(WEEKNUM(A177,2),"00")</x:f>
        <x:v>#NUM!</x:v>
      </x:c>
    </x:row>
    <x:row r="178">
      <x:c r="A178" s="74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60"/>
      <x:c r="M178" t="e">
        <x:f>YEAR(A178)&amp;"-S"&amp;TEXT(WEEKNUM(A178,2),"00")</x:f>
        <x:v>#NUM!</x:v>
      </x:c>
    </x:row>
    <x:row r="179">
      <x:c r="A179" s="74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60"/>
      <x:c r="M179" t="e">
        <x:f>YEAR(A179)&amp;"-S"&amp;TEXT(WEEKNUM(A179,2),"00")</x:f>
        <x:v>#NUM!</x:v>
      </x:c>
    </x:row>
    <x:row r="180">
      <x:c r="A180" s="74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60"/>
      <x:c r="M180" t="e">
        <x:f>YEAR(A180)&amp;"-S"&amp;TEXT(WEEKNUM(A180,2),"00")</x:f>
        <x:v>#NUM!</x:v>
      </x:c>
    </x:row>
    <x:row r="181">
      <x:c r="A181" s="74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60"/>
      <x:c r="M181" t="e">
        <x:f>YEAR(A181)&amp;"-S"&amp;TEXT(WEEKNUM(A181,2),"00")</x:f>
        <x:v>#NUM!</x:v>
      </x:c>
    </x:row>
    <x:row r="182">
      <x:c r="A182" s="74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60"/>
      <x:c r="M182" t="e">
        <x:f>YEAR(A182)&amp;"-S"&amp;TEXT(WEEKNUM(A182,2),"00")</x:f>
        <x:v>#NUM!</x:v>
      </x:c>
    </x:row>
    <x:row r="183">
      <x:c r="A183" s="74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60"/>
      <x:c r="M183" t="e">
        <x:f>YEAR(A183)&amp;"-S"&amp;TEXT(WEEKNUM(A183,2),"00")</x:f>
        <x:v>#NUM!</x:v>
      </x:c>
    </x:row>
    <x:row r="184">
      <x:c r="A184" s="74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60"/>
      <x:c r="M184" t="e">
        <x:f>YEAR(A184)&amp;"-S"&amp;TEXT(WEEKNUM(A184,2),"00")</x:f>
        <x:v>#NUM!</x:v>
      </x:c>
    </x:row>
    <x:row r="185">
      <x:c r="A185" s="74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60"/>
      <x:c r="M185" t="e">
        <x:f>YEAR(A185)&amp;"-S"&amp;TEXT(WEEKNUM(A185,2),"00")</x:f>
        <x:v>#NUM!</x:v>
      </x:c>
    </x:row>
    <x:row r="186">
      <x:c r="A186" s="74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60"/>
      <x:c r="M186" t="e">
        <x:f>YEAR(A186)&amp;"-S"&amp;TEXT(WEEKNUM(A186,2),"00")</x:f>
        <x:v>#NUM!</x:v>
      </x:c>
    </x:row>
    <x:row r="187">
      <x:c r="A187" s="74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60"/>
      <x:c r="M187" t="e">
        <x:f>YEAR(A187)&amp;"-S"&amp;TEXT(WEEKNUM(A187,2),"00")</x:f>
        <x:v>#NUM!</x:v>
      </x:c>
    </x:row>
    <x:row r="188">
      <x:c r="A188" s="74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60"/>
      <x:c r="M188" t="e">
        <x:f>YEAR(A188)&amp;"-S"&amp;TEXT(WEEKNUM(A188,2),"00")</x:f>
        <x:v>#NUM!</x:v>
      </x:c>
    </x:row>
    <x:row r="189">
      <x:c r="A189" s="74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60"/>
      <x:c r="M189" t="e">
        <x:f>YEAR(A189)&amp;"-S"&amp;TEXT(WEEKNUM(A189,2),"00")</x:f>
        <x:v>#NUM!</x:v>
      </x:c>
    </x:row>
    <x:row r="190">
      <x:c r="A190" s="74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60"/>
      <x:c r="M190" t="e">
        <x:f>YEAR(A190)&amp;"-S"&amp;TEXT(WEEKNUM(A190,2),"00")</x:f>
        <x:v>#NUM!</x:v>
      </x:c>
    </x:row>
    <x:row r="191">
      <x:c r="A191" s="74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60"/>
      <x:c r="M191" t="e">
        <x:f>YEAR(A191)&amp;"-S"&amp;TEXT(WEEKNUM(A191,2),"00")</x:f>
        <x:v>#NUM!</x:v>
      </x:c>
    </x:row>
    <x:row r="192">
      <x:c r="A192" s="74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60"/>
      <x:c r="M192" t="e">
        <x:f>YEAR(A192)&amp;"-S"&amp;TEXT(WEEKNUM(A192,2),"00")</x:f>
        <x:v>#NUM!</x:v>
      </x:c>
    </x:row>
    <x:row r="193">
      <x:c r="A193" s="74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60"/>
      <x:c r="M193" t="e">
        <x:f>YEAR(A193)&amp;"-S"&amp;TEXT(WEEKNUM(A193,2),"00")</x:f>
        <x:v>#NUM!</x:v>
      </x:c>
    </x:row>
    <x:row r="194">
      <x:c r="A194" s="74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60"/>
      <x:c r="M194" t="e">
        <x:f>YEAR(A194)&amp;"-S"&amp;TEXT(WEEKNUM(A194,2),"00")</x:f>
        <x:v>#NUM!</x:v>
      </x:c>
    </x:row>
    <x:row r="195">
      <x:c r="A195" s="74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60"/>
      <x:c r="M195" t="e">
        <x:f>YEAR(A195)&amp;"-S"&amp;TEXT(WEEKNUM(A195,2),"00")</x:f>
        <x:v>#NUM!</x:v>
      </x:c>
    </x:row>
    <x:row r="196">
      <x:c r="A196" s="74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60"/>
      <x:c r="M196" t="e">
        <x:f>YEAR(A196)&amp;"-S"&amp;TEXT(WEEKNUM(A196,2),"00")</x:f>
        <x:v>#NUM!</x:v>
      </x:c>
    </x:row>
    <x:row r="197">
      <x:c r="A197" s="74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60"/>
      <x:c r="M197" t="e">
        <x:f>YEAR(A197)&amp;"-S"&amp;TEXT(WEEKNUM(A197,2),"00")</x:f>
        <x:v>#NUM!</x:v>
      </x:c>
    </x:row>
    <x:row r="198">
      <x:c r="A198" s="74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60"/>
      <x:c r="M198" t="e">
        <x:f>YEAR(A198)&amp;"-S"&amp;TEXT(WEEKNUM(A198,2),"00")</x:f>
        <x:v>#NUM!</x:v>
      </x:c>
    </x:row>
    <x:row r="199">
      <x:c r="A199" s="74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60"/>
      <x:c r="M199" t="e">
        <x:f>YEAR(A199)&amp;"-S"&amp;TEXT(WEEKNUM(A199,2),"00")</x:f>
        <x:v>#NUM!</x:v>
      </x:c>
    </x:row>
    <x:row r="200">
      <x:c r="A200" s="74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60"/>
      <x:c r="M200" t="e">
        <x:f>YEAR(A200)&amp;"-S"&amp;TEXT(WEEKNUM(A200,2),"00")</x:f>
        <x:v>#NUM!</x:v>
      </x:c>
    </x:row>
    <x:row r="201">
      <x:c r="A201" s="74"/>
      <x:c r="B201" s="59"/>
      <x:c r="C201" s="59"/>
      <x:c r="D201" s="59"/>
      <x:c r="E201" s="59"/>
      <x:c r="F201" s="59"/>
      <x:c r="G201" s="59"/>
      <x:c r="H201" s="59"/>
      <x:c r="I201" s="59"/>
      <x:c r="J201" s="59"/>
      <x:c r="K201" s="59"/>
      <x:c r="L201" s="60"/>
      <x:c r="M201" t="e">
        <x:f>YEAR(A201)&amp;"-S"&amp;TEXT(WEEKNUM(A201,2),"00")</x:f>
        <x:v>#NUM!</x:v>
      </x:c>
    </x:row>
    <x:row r="202">
      <x:c r="A202" s="74"/>
      <x:c r="B202" s="59"/>
      <x:c r="C202" s="59"/>
      <x:c r="D202" s="59"/>
      <x:c r="E202" s="59"/>
      <x:c r="F202" s="59"/>
      <x:c r="G202" s="59"/>
      <x:c r="H202" s="59"/>
      <x:c r="I202" s="59"/>
      <x:c r="J202" s="59"/>
      <x:c r="K202" s="59"/>
      <x:c r="L202" s="60"/>
      <x:c r="M202" t="e">
        <x:f>YEAR(A202)&amp;"-S"&amp;TEXT(WEEKNUM(A202,2),"00")</x:f>
        <x:v>#NUM!</x:v>
      </x:c>
    </x:row>
    <x:row r="203">
      <x:c r="A203" s="74"/>
      <x:c r="B203" s="59"/>
      <x:c r="C203" s="59"/>
      <x:c r="D203" s="59"/>
      <x:c r="E203" s="59"/>
      <x:c r="F203" s="59"/>
      <x:c r="G203" s="59"/>
      <x:c r="H203" s="59"/>
      <x:c r="I203" s="59"/>
      <x:c r="J203" s="59"/>
      <x:c r="K203" s="59"/>
      <x:c r="L203" s="60"/>
      <x:c r="M203" t="e">
        <x:f>YEAR(A203)&amp;"-S"&amp;TEXT(WEEKNUM(A203,2),"00")</x:f>
        <x:v>#NUM!</x:v>
      </x:c>
    </x:row>
    <x:row r="204">
      <x:c r="A204" s="75"/>
      <x:c r="B204" s="62"/>
      <x:c r="C204" s="62"/>
      <x:c r="D204" s="62"/>
      <x:c r="E204" s="62"/>
      <x:c r="F204" s="62"/>
      <x:c r="G204" s="62"/>
      <x:c r="H204" s="62"/>
      <x:c r="I204" s="62"/>
      <x:c r="J204" s="62"/>
      <x:c r="K204" s="62"/>
      <x:c r="L204" s="63"/>
      <x:c r="M204" t="e">
        <x:f>YEAR(A204)&amp;"-S"&amp;TEXT(WEEKNUM(A204,2),"00")</x:f>
        <x:v>#NUM!</x:v>
      </x:c>
    </x:row>
  </x:sheetData>
  <x:mergeCells>
    <x:mergeCell ref="A1:M1"/>
    <x:mergeCell ref="A2:M2"/>
  </x:mergeCells>
  <x:dataValidations count="2">
    <x:dataValidation type="list" sqref="C5:C204">
      <x:formula1>"Mañana,Mediodía,Tarde,Cierre"</x:formula1>
    </x:dataValidation>
    <x:dataValidation type="whole" operator="between" sqref="D5:K204">
      <x:formula1>0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e8a9d3687f04b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48" hidden="0" customWidth="1"/>
    <x:col min="5" max="5" width="18" hidden="0" customWidth="1"/>
    <x:col min="6" max="6" width="14" hidden="0" customWidth="1"/>
    <x:col min="7" max="7" width="28" hidden="0" customWidth="1"/>
  </x:cols>
  <x:sheetData>
    <x:row r="1" ht="34" customHeight="1">
      <x:c r="A1" s="3" t="str">
        <x:v>CADENCIA MULTICANAL</x:v>
      </x:c>
      <x:c r="B1" s="3"/>
      <x:c r="C1" s="3"/>
      <x:c r="D1" s="3"/>
      <x:c r="E1" s="3"/>
      <x:c r="F1" s="3"/>
      <x:c r="G1" s="3"/>
    </x:row>
    <x:row r="2" ht="26" customHeight="1">
      <x:c r="A2" s="6" t="str">
        <x:v>Secuencia base de 15 días. Detén ante reunión, falta de encaje, rechazo u oposición.</x:v>
      </x:c>
      <x:c r="B2" s="6"/>
      <x:c r="C2" s="6"/>
      <x:c r="D2" s="6"/>
      <x:c r="E2" s="6"/>
      <x:c r="F2" s="6"/>
      <x:c r="G2" s="6"/>
    </x:row>
    <x:row r="4" ht="28" customHeight="1">
      <x:c r="A4" s="16" t="str">
        <x:v>Día</x:v>
      </x:c>
      <x:c r="B4" s="22" t="str">
        <x:v>Canal</x:v>
      </x:c>
      <x:c r="C4" s="22" t="str">
        <x:v>Objetivo</x:v>
      </x:c>
      <x:c r="D4" s="22" t="str">
        <x:v>Acción</x:v>
      </x:c>
      <x:c r="E4" s="22" t="str">
        <x:v>Plantilla / enlace</x:v>
      </x:c>
      <x:c r="F4" s="22" t="str">
        <x:v>Estado</x:v>
      </x:c>
      <x:c r="G4" s="17" t="str">
        <x:v>Nota de cumplimiento</x:v>
      </x:c>
    </x:row>
    <x:row r="5" ht="42" customHeight="1">
      <x:c r="A5" s="94" t="n">
        <x:v>1</x:v>
      </x:c>
      <x:c r="B5" s="95" t="str">
        <x:v>Llamada + email</x:v>
      </x:c>
      <x:c r="C5" s="95" t="str">
        <x:v>Abrir</x:v>
      </x:c>
      <x:c r="D5" s="95" t="str">
        <x:v>Apertura breve; email si no responde.</x:v>
      </x:c>
      <x:c r="E5" s="95" t="str">
        <x:v>Manual 06</x:v>
      </x:c>
      <x:c r="F5" s="95" t="str">
        <x:v>Pendiente</x:v>
      </x:c>
      <x:c r="G5" s="96" t="str">
        <x:v>Identidad y salida clara</x:v>
      </x:c>
    </x:row>
    <x:row r="6" ht="42" customHeight="1">
      <x:c r="A6" s="97" t="n">
        <x:v>2</x:v>
      </x:c>
      <x:c r="B6" s="98" t="str">
        <x:v>LinkedIn</x:v>
      </x:c>
      <x:c r="C6" s="98" t="str">
        <x:v>Contextualizar</x:v>
      </x:c>
      <x:c r="D6" s="98" t="str">
        <x:v>Conexión sin pitch.</x:v>
      </x:c>
      <x:c r="E6" s="98" t="str">
        <x:v>Manual 06</x:v>
      </x:c>
      <x:c r="F6" s="98" t="str">
        <x:v>Pendiente</x:v>
      </x:c>
      <x:c r="G6" s="99" t="str">
        <x:v>Personalización real</x:v>
      </x:c>
    </x:row>
    <x:row r="7" ht="42" customHeight="1">
      <x:c r="A7" s="97" t="n">
        <x:v>3</x:v>
      </x:c>
      <x:c r="B7" s="98" t="str">
        <x:v>Llamada</x:v>
      </x:c>
      <x:c r="C7" s="98" t="str">
        <x:v>Validar</x:v>
      </x:c>
      <x:c r="D7" s="98" t="str">
        <x:v>Otra franja y pregunta de prioridad.</x:v>
      </x:c>
      <x:c r="E7" s="98" t="str">
        <x:v>Manual 06</x:v>
      </x:c>
      <x:c r="F7" s="98" t="str">
        <x:v>Pendiente</x:v>
      </x:c>
      <x:c r="G7" s="99" t="str">
        <x:v>No repetir discurso</x:v>
      </x:c>
    </x:row>
    <x:row r="8" ht="42" customHeight="1">
      <x:c r="A8" s="97" t="n">
        <x:v>5</x:v>
      </x:c>
      <x:c r="B8" s="98" t="str">
        <x:v>Email</x:v>
      </x:c>
      <x:c r="C8" s="98" t="str">
        <x:v>Aportar</x:v>
      </x:c>
      <x:c r="D8" s="98" t="str">
        <x:v>Mapa de fuga sectorial.</x:v>
      </x:c>
      <x:c r="E8" s="98" t="str">
        <x:v>Manual 06</x:v>
      </x:c>
      <x:c r="F8" s="98" t="str">
        <x:v>Pendiente</x:v>
      </x:c>
      <x:c r="G8" s="99" t="str">
        <x:v>No fingir auditoría</x:v>
      </x:c>
    </x:row>
    <x:row r="9" ht="42" customHeight="1">
      <x:c r="A9" s="97" t="n">
        <x:v>6</x:v>
      </x:c>
      <x:c r="B9" s="98" t="str">
        <x:v>Llamada</x:v>
      </x:c>
      <x:c r="C9" s="98" t="str">
        <x:v>Decidir</x:v>
      </x:c>
      <x:c r="D9" s="98" t="str">
        <x:v>12 minutos o cierre.</x:v>
      </x:c>
      <x:c r="E9" s="98" t="str">
        <x:v>Manual 06</x:v>
      </x:c>
      <x:c r="F9" s="98" t="str">
        <x:v>Pendiente</x:v>
      </x:c>
      <x:c r="G9" s="99" t="str">
        <x:v>Respetar no</x:v>
      </x:c>
    </x:row>
    <x:row r="10" ht="42" customHeight="1">
      <x:c r="A10" s="97" t="n">
        <x:v>8</x:v>
      </x:c>
      <x:c r="B10" s="98" t="str">
        <x:v>LinkedIn</x:v>
      </x:c>
      <x:c r="C10" s="98" t="str">
        <x:v>Alternar</x:v>
      </x:c>
      <x:c r="D10" s="98" t="str">
        <x:v>Pregunta por línea prioritaria.</x:v>
      </x:c>
      <x:c r="E10" s="98" t="str">
        <x:v>Manual 06</x:v>
      </x:c>
      <x:c r="F10" s="98" t="str">
        <x:v>Pendiente</x:v>
      </x:c>
      <x:c r="G10" s="99" t="str">
        <x:v>Sin datos sensibles</x:v>
      </x:c>
    </x:row>
    <x:row r="11" ht="42" customHeight="1">
      <x:c r="A11" s="97" t="n">
        <x:v>10</x:v>
      </x:c>
      <x:c r="B11" s="98" t="str">
        <x:v>Llamada + buzón</x:v>
      </x:c>
      <x:c r="C11" s="98" t="str">
        <x:v>Recordar</x:v>
      </x:c>
      <x:c r="D11" s="98" t="str">
        <x:v>Mensaje menor de 25 segundos.</x:v>
      </x:c>
      <x:c r="E11" s="98" t="str">
        <x:v>Manual 06</x:v>
      </x:c>
      <x:c r="F11" s="98" t="str">
        <x:v>Pendiente</x:v>
      </x:c>
      <x:c r="G11" s="99" t="str">
        <x:v>Motivo verificable</x:v>
      </x:c>
    </x:row>
    <x:row r="12" ht="42" customHeight="1">
      <x:c r="A12" s="97" t="n">
        <x:v>12</x:v>
      </x:c>
      <x:c r="B12" s="98" t="str">
        <x:v>Email</x:v>
      </x:c>
      <x:c r="C12" s="98" t="str">
        <x:v>Reducir riesgo</x:v>
      </x:c>
      <x:c r="D12" s="98" t="str">
        <x:v>Checklist de encaje.</x:v>
      </x:c>
      <x:c r="E12" s="98" t="str">
        <x:v>Manual 06</x:v>
      </x:c>
      <x:c r="F12" s="98" t="str">
        <x:v>Pendiente</x:v>
      </x:c>
      <x:c r="G12" s="99" t="str">
        <x:v>Valor útil</x:v>
      </x:c>
    </x:row>
    <x:row r="13" ht="42" customHeight="1">
      <x:c r="A13" s="100" t="n">
        <x:v>15</x:v>
      </x:c>
      <x:c r="B13" s="101" t="str">
        <x:v>Llamada + cierre</x:v>
      </x:c>
      <x:c r="C13" s="101" t="str">
        <x:v>Cerrar bucle</x:v>
      </x:c>
      <x:c r="D13" s="101" t="str">
        <x:v>Archivar, fecha o diagnóstico.</x:v>
      </x:c>
      <x:c r="E13" s="101" t="str">
        <x:v>Manual 06</x:v>
      </x:c>
      <x:c r="F13" s="101" t="str">
        <x:v>Pendiente</x:v>
      </x:c>
      <x:c r="G13" s="102" t="str">
        <x:v>No perseguir</x:v>
      </x:c>
    </x:row>
  </x:sheetData>
  <x:mergeCells>
    <x:mergeCell ref="A1:G1"/>
    <x:mergeCell ref="A2:G2"/>
  </x:mergeCells>
  <x:conditionalFormatting sqref="F5:F13">
    <x:cfRule type="containsText" dxfId="4" priority="1" operator="containsText" text="Hecho"/>
  </x:conditionalFormatting>
  <x:dataValidations count="1">
    <x:dataValidation type="list" sqref="F5:F13">
      <x:formula1>"Pendiente,Hecho,Detenido,No aplica"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4" hidden="0" customWidth="1"/>
    <x:col min="4" max="4" width="22" hidden="0" customWidth="1"/>
    <x:col min="5" max="5" width="14" hidden="0" customWidth="1"/>
    <x:col min="6" max="6" width="4" hidden="0" customWidth="1"/>
    <x:col min="7" max="7" width="20" hidden="0" customWidth="1"/>
    <x:col min="8" max="8" width="12" hidden="0" customWidth="1"/>
    <x:col min="9" max="9" width="4" hidden="0" customWidth="1"/>
    <x:col min="10" max="10" width="24" hidden="0" customWidth="1"/>
    <x:col min="11" max="11" width="16" hidden="0" customWidth="1"/>
    <x:col min="12" max="12" width="4" hidden="0" customWidth="1"/>
    <x:col min="13" max="13" width="4" hidden="0" customWidth="1"/>
    <x:col min="14" max="14" width="4" hidden="0" customWidth="1"/>
  </x:cols>
  <x:sheetData>
    <x:row r="1" ht="34" customHeight="1">
      <x:c r="A1" s="3" t="str">
        <x:v>DASHBOARD COMERCIAL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6" t="str">
        <x:v>Actualiza Prospectos, Pipeline y Actividad diaria. No incluye previsiones inventadas.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28" customHeight="1">
      <x:c r="A4" s="16" t="str">
        <x:v>Métrica</x:v>
      </x:c>
      <x:c r="B4" s="17" t="str">
        <x:v>Actual</x:v>
      </x:c>
      <x:c r="D4" s="16" t="str">
        <x:v>Conversión</x:v>
      </x:c>
      <x:c r="E4" s="17" t="str">
        <x:v>Tasa</x:v>
      </x:c>
      <x:c r="G4" s="16" t="str">
        <x:v>Pipeline</x:v>
      </x:c>
      <x:c r="H4" s="17" t="str">
        <x:v>Número</x:v>
      </x:c>
      <x:c r="J4" s="16" t="str">
        <x:v>Control</x:v>
      </x:c>
      <x:c r="K4" s="17" t="str">
        <x:v>Resultado</x:v>
      </x:c>
    </x:row>
    <x:row r="5">
      <x:c r="A5" s="103" t="str">
        <x:v>Marcaciones</x:v>
      </x:c>
      <x:c r="B5" s="109" t="n">
        <x:f>SUM('Actividad diaria'!$D$5:$D$204)</x:f>
        <x:v>25</x:v>
      </x:c>
      <x:c r="D5" s="114" t="str">
        <x:v>Conexión</x:v>
      </x:c>
      <x:c r="E5" s="115" t="n">
        <x:f>IFERROR(B6/B5,0)</x:f>
        <x:v>0.16</x:v>
      </x:c>
      <x:c r="G5" s="103" t="str">
        <x:v>Lista</x:v>
      </x:c>
      <x:c r="H5" s="104" t="n">
        <x:f>COUNTIF('Pipeline'!$F$5:$F$204,"Lista")</x:f>
        <x:v>0</x:v>
      </x:c>
      <x:c r="J5" s="122" t="str">
        <x:v>Sin próxima acción</x:v>
      </x:c>
      <x:c r="K5" s="123" t="n">
        <x:f>COUNTIFS('Pipeline'!$A$5:$A$204,"&lt;&gt;",'Pipeline'!$I$5:$I$204,"")</x:f>
        <x:v>0</x:v>
      </x:c>
    </x:row>
    <x:row r="6">
      <x:c r="A6" s="105" t="str">
        <x:v>Conversaciones</x:v>
      </x:c>
      <x:c r="B6" s="110" t="n">
        <x:f>SUM('Actividad diaria'!$E$5:$E$204)</x:f>
        <x:v>4</x:v>
      </x:c>
      <x:c r="D6" s="116" t="str">
        <x:v>Cualificación</x:v>
      </x:c>
      <x:c r="E6" s="117" t="n">
        <x:f>IFERROR(B7/B6,0)</x:f>
        <x:v>0.5</x:v>
      </x:c>
      <x:c r="G6" s="105" t="str">
        <x:v>Contactado</x:v>
      </x:c>
      <x:c r="H6" s="106" t="n">
        <x:f>COUNTIF('Pipeline'!$F$5:$F$204,"Contactado")</x:f>
        <x:v>1</x:v>
      </x:c>
      <x:c r="J6" s="124" t="str">
        <x:v>Sin fecha</x:v>
      </x:c>
      <x:c r="K6" s="125" t="n">
        <x:f>COUNTIFS('Pipeline'!$A$5:$A$204,"&lt;&gt;",'Pipeline'!$J$5:$J$204,"")</x:f>
        <x:v>0</x:v>
      </x:c>
    </x:row>
    <x:row r="7">
      <x:c r="A7" s="105" t="str">
        <x:v>Cualificados</x:v>
      </x:c>
      <x:c r="B7" s="110" t="n">
        <x:f>SUM('Actividad diaria'!$F$5:$F$204)</x:f>
        <x:v>2</x:v>
      </x:c>
      <x:c r="D7" s="116" t="str">
        <x:v>Agenda</x:v>
      </x:c>
      <x:c r="E7" s="117" t="n">
        <x:f>IFERROR(B8/B7,0)</x:f>
        <x:v>0.5</x:v>
      </x:c>
      <x:c r="G7" s="105" t="str">
        <x:v>Conversación</x:v>
      </x:c>
      <x:c r="H7" s="106" t="n">
        <x:f>COUNTIF('Pipeline'!$F$5:$F$204,"Conversación")</x:f>
        <x:v>0</x:v>
      </x:c>
      <x:c r="J7" s="124" t="str">
        <x:v>Alta prioridad</x:v>
      </x:c>
      <x:c r="K7" s="125" t="n">
        <x:f>COUNTIF('Pipeline'!$G$5:$G$204,"Alta")</x:f>
        <x:v>0</x:v>
      </x:c>
    </x:row>
    <x:row r="8">
      <x:c r="A8" s="105" t="str">
        <x:v>Reuniones</x:v>
      </x:c>
      <x:c r="B8" s="110" t="n">
        <x:f>SUM('Actividad diaria'!$G$5:$G$204)</x:f>
        <x:v>1</x:v>
      </x:c>
      <x:c r="D8" s="116" t="str">
        <x:v>Asistencia</x:v>
      </x:c>
      <x:c r="E8" s="117" t="n">
        <x:f>IFERROR(B9/B8,0)</x:f>
        <x:v>0</x:v>
      </x:c>
      <x:c r="G8" s="105" t="str">
        <x:v>Reunión</x:v>
      </x:c>
      <x:c r="H8" s="106" t="n">
        <x:f>COUNTIF('Pipeline'!$F$5:$F$204,"Reunión")</x:f>
        <x:v>0</x:v>
      </x:c>
      <x:c r="J8" s="124" t="str">
        <x:v>Ejemplos por borrar</x:v>
      </x:c>
      <x:c r="K8" s="125" t="n">
        <x:f>COUNTIF('Pipeline'!$B$5:$B$204,"EJEMPLO - BORRAR · Empresa demostración")</x:f>
        <x:v>1</x:v>
      </x:c>
    </x:row>
    <x:row r="9">
      <x:c r="A9" s="105" t="str">
        <x:v>Celebradas</x:v>
      </x:c>
      <x:c r="B9" s="110" t="n">
        <x:f>SUM('Actividad diaria'!$H$5:$H$204)</x:f>
        <x:v>0</x:v>
      </x:c>
      <x:c r="D9" s="118" t="str">
        <x:v>Propuesta</x:v>
      </x:c>
      <x:c r="E9" s="119" t="n">
        <x:f>IFERROR(B10/B9,0)</x:f>
        <x:v>0</x:v>
      </x:c>
      <x:c r="G9" s="105" t="str">
        <x:v>Diagnóstico</x:v>
      </x:c>
      <x:c r="H9" s="106" t="n">
        <x:f>COUNTIF('Pipeline'!$F$5:$F$204,"Diagnóstico")</x:f>
        <x:v>0</x:v>
      </x:c>
      <x:c r="J9" s="126" t="str">
        <x:v>Pipeline ponderado</x:v>
      </x:c>
      <x:c r="K9" s="127" t="n">
        <x:f>SUMPRODUCT('Pipeline'!$L$5:$L$204,'Pipeline'!$M$5:$M$204)</x:f>
        <x:v>0</x:v>
      </x:c>
    </x:row>
    <x:row r="10">
      <x:c r="A10" s="105" t="str">
        <x:v>Propuestas</x:v>
      </x:c>
      <x:c r="B10" s="110" t="n">
        <x:f>SUM('Actividad diaria'!$I$5:$I$204)</x:f>
        <x:v>0</x:v>
      </x:c>
      <x:c r="G10" s="105" t="str">
        <x:v>Propuesta</x:v>
      </x:c>
      <x:c r="H10" s="106" t="n">
        <x:f>COUNTIF('Pipeline'!$F$5:$F$204,"Propuesta")</x:f>
        <x:v>0</x:v>
      </x:c>
    </x:row>
    <x:row r="11">
      <x:c r="A11" s="107" t="str">
        <x:v>Ganados</x:v>
      </x:c>
      <x:c r="B11" s="111" t="n">
        <x:f>SUM('Actividad diaria'!$J$5:$J$204)</x:f>
        <x:v>0</x:v>
      </x:c>
      <x:c r="G11" s="105" t="str">
        <x:v>Ganado</x:v>
      </x:c>
      <x:c r="H11" s="106" t="n">
        <x:f>COUNTIF('Pipeline'!$F$5:$F$204,"Ganado")</x:f>
        <x:v>0</x:v>
      </x:c>
    </x:row>
    <x:row r="12">
      <x:c r="G12" s="107" t="str">
        <x:v>Perdido</x:v>
      </x:c>
      <x:c r="H12" s="108" t="n">
        <x:f>COUNTIF('Pipeline'!$F$5:$F$204,"Perdido")</x:f>
        <x:v>0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3bc5b5ea3dae4748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14" hidden="0" customWidth="1"/>
    <x:col min="4" max="4" width="24" hidden="0" customWidth="1"/>
    <x:col min="5" max="5" width="38" hidden="0" customWidth="1"/>
    <x:col min="6" max="6" width="16" hidden="0" customWidth="1"/>
  </x:cols>
  <x:sheetData>
    <x:row r="1" ht="34" customHeight="1">
      <x:c r="A1" s="3" t="str">
        <x:v>SCORECARD CALLER</x:v>
      </x:c>
      <x:c r="B1" s="3"/>
      <x:c r="C1" s="3"/>
      <x:c r="D1" s="3"/>
      <x:c r="E1" s="3"/>
      <x:c r="F1" s="3"/>
    </x:row>
    <x:row r="2" ht="26" customHeight="1">
      <x:c r="A2" s="6" t="str">
        <x:v>Escucha una llamada completa. 0 = no ocurrió · 1 = parcial · 2 = claro y consistente.</x:v>
      </x:c>
      <x:c r="B2" s="6"/>
      <x:c r="C2" s="6"/>
      <x:c r="D2" s="6"/>
      <x:c r="E2" s="6"/>
      <x:c r="F2" s="6"/>
    </x:row>
    <x:row r="4" ht="28" customHeight="1">
      <x:c r="A4" s="16" t="str">
        <x:v>Criterio</x:v>
      </x:c>
      <x:c r="B4" s="22" t="str">
        <x:v>Conducta observable</x:v>
      </x:c>
      <x:c r="C4" s="22" t="str">
        <x:v>Puntuación</x:v>
      </x:c>
      <x:c r="D4" s="22" t="str">
        <x:v>Evidencia / minuto</x:v>
      </x:c>
      <x:c r="E4" s="22" t="str">
        <x:v>Coaching</x:v>
      </x:c>
      <x:c r="F4" s="17" t="str">
        <x:v>Revisión</x:v>
      </x:c>
    </x:row>
    <x:row r="5" ht="42" customHeight="1">
      <x:c r="A5" t="str">
        <x:v>Permiso</x:v>
      </x:c>
      <x:c r="B5" t="str">
        <x:v>Identidad, motivo y permiso en menos de 30 segundos</x:v>
      </x:c>
      <x:c r="C5" s="55"/>
      <x:c r="D5" s="56"/>
      <x:c r="E5" s="56"/>
      <x:c r="F5" s="57"/>
    </x:row>
    <x:row r="6" ht="42" customHeight="1">
      <x:c r="A6" t="str">
        <x:v>Prioridad</x:v>
      </x:c>
      <x:c r="B6" t="str">
        <x:v>Pregunta antes de explicar RedVitalia</x:v>
      </x:c>
      <x:c r="C6" s="58"/>
      <x:c r="D6" s="59"/>
      <x:c r="E6" s="59"/>
      <x:c r="F6" s="60"/>
    </x:row>
    <x:row r="7" ht="42" customHeight="1">
      <x:c r="A7" t="str">
        <x:v>Escucha</x:v>
      </x:c>
      <x:c r="B7" t="str">
        <x:v>Recoge palabras exactas y no interrumpe</x:v>
      </x:c>
      <x:c r="C7" s="58"/>
      <x:c r="D7" s="59"/>
      <x:c r="E7" s="59"/>
      <x:c r="F7" s="60"/>
    </x:row>
    <x:row r="8" ht="42" customHeight="1">
      <x:c r="A8" t="str">
        <x:v>Integridad</x:v>
      </x:c>
      <x:c r="B8" t="str">
        <x:v>No promete leads, ventas, posiciones o plazos</x:v>
      </x:c>
      <x:c r="C8" s="58"/>
      <x:c r="D8" s="59"/>
      <x:c r="E8" s="59"/>
      <x:c r="F8" s="60"/>
    </x:row>
    <x:row r="9" ht="42" customHeight="1">
      <x:c r="A9" t="str">
        <x:v>Agenda</x:v>
      </x:c>
      <x:c r="B9" t="str">
        <x:v>Confirma objetivo, decisor y fecha</x:v>
      </x:c>
      <x:c r="C9" s="58"/>
      <x:c r="D9" s="59"/>
      <x:c r="E9" s="59"/>
      <x:c r="F9" s="60"/>
    </x:row>
    <x:row r="10" ht="42" customHeight="1">
      <x:c r="A10" t="str">
        <x:v>CRM</x:v>
      </x:c>
      <x:c r="B10" t="str">
        <x:v>Registra resultado y siguiente acción</x:v>
      </x:c>
      <x:c r="C10" s="61"/>
      <x:c r="D10" s="62"/>
      <x:c r="E10" s="62"/>
      <x:c r="F10" s="63"/>
    </x:row>
    <x:row r="12" ht="28" customHeight="1">
      <x:c r="A12" s="128" t="str">
        <x:v>TOTAL</x:v>
      </x:c>
      <x:c r="B12" s="128" t="str"/>
      <x:c r="C12" s="128" t="n">
        <x:f>SUM(C5:C10)</x:f>
        <x:v>0</x:v>
      </x:c>
      <x:c r="D12" s="128" t="str">
        <x:f>IF(C12&gt;=10,"Certificado",IF(C12&gt;=7,"En práctica","Reentrenar"))</x:f>
        <x:v>Reentrenar</x:v>
      </x:c>
      <x:c r="E12" s="128"/>
      <x:c r="F12" s="128"/>
    </x:row>
  </x:sheetData>
  <x:mergeCells>
    <x:mergeCell ref="A1:F1"/>
    <x:mergeCell ref="A2:F2"/>
    <x:mergeCell ref="D12:F12"/>
  </x:mergeCells>
  <x:dataValidations count="1">
    <x:dataValidation type="list" sqref="C5:C10">
      <x:formula1>"0,1,2"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14" hidden="0" customWidth="1"/>
    <x:col min="4" max="4" width="36" hidden="0" customWidth="1"/>
    <x:col min="5" max="5" width="36" hidden="0" customWidth="1"/>
    <x:col min="6" max="6" width="18" hidden="0" customWidth="1"/>
  </x:cols>
  <x:sheetData>
    <x:row r="1" ht="34" customHeight="1">
      <x:c r="A1" s="3" t="str">
        <x:v>SCORECARD CLOSER</x:v>
      </x:c>
      <x:c r="B1" s="3"/>
      <x:c r="C1" s="3"/>
      <x:c r="D1" s="3"/>
      <x:c r="E1" s="3"/>
      <x:c r="F1" s="3"/>
    </x:row>
    <x:row r="2" ht="26" customHeight="1">
      <x:c r="A2" s="6" t="str">
        <x:v>Puntúa el encaje antes de proponer. La economía se consulta en la fuente canónica.</x:v>
      </x:c>
      <x:c r="B2" s="6"/>
      <x:c r="C2" s="6"/>
      <x:c r="D2" s="6"/>
      <x:c r="E2" s="6"/>
      <x:c r="F2" s="6"/>
    </x:row>
    <x:row r="4" ht="28" customHeight="1">
      <x:c r="A4" s="16" t="str">
        <x:v>Criterio</x:v>
      </x:c>
      <x:c r="B4" s="22" t="str">
        <x:v>Pregunta</x:v>
      </x:c>
      <x:c r="C4" s="22" t="str">
        <x:v>Puntuación</x:v>
      </x:c>
      <x:c r="D4" s="22" t="str">
        <x:v>Evidencia</x:v>
      </x:c>
      <x:c r="E4" s="22" t="str">
        <x:v>Pendiente</x:v>
      </x:c>
      <x:c r="F4" s="17" t="str">
        <x:v>Responsable</x:v>
      </x:c>
    </x:row>
    <x:row r="5" ht="42" customHeight="1">
      <x:c r="A5" t="str">
        <x:v>Foco</x:v>
      </x:c>
      <x:c r="B5" t="str">
        <x:v>¿Existe una línea prioritaria concreta?</x:v>
      </x:c>
      <x:c r="C5" s="55"/>
      <x:c r="D5" s="56"/>
      <x:c r="E5" s="56"/>
      <x:c r="F5" s="57"/>
    </x:row>
    <x:row r="6" ht="42" customHeight="1">
      <x:c r="A6" t="str">
        <x:v>Economía</x:v>
      </x:c>
      <x:c r="B6" t="str">
        <x:v>¿Conocen ticket, margen o valor?</x:v>
      </x:c>
      <x:c r="C6" s="58"/>
      <x:c r="D6" s="59"/>
      <x:c r="E6" s="59"/>
      <x:c r="F6" s="60"/>
    </x:row>
    <x:row r="7" ht="42" customHeight="1">
      <x:c r="A7" t="str">
        <x:v>Capacidad</x:v>
      </x:c>
      <x:c r="B7" t="str">
        <x:v>¿Pueden absorber demanda adicional?</x:v>
      </x:c>
      <x:c r="C7" s="58"/>
      <x:c r="D7" s="59"/>
      <x:c r="E7" s="59"/>
      <x:c r="F7" s="60"/>
    </x:row>
    <x:row r="8" ht="42" customHeight="1">
      <x:c r="A8" t="str">
        <x:v>Velocidad</x:v>
      </x:c>
      <x:c r="B8" t="str">
        <x:v>¿Responden con rapidez y responsable?</x:v>
      </x:c>
      <x:c r="C8" s="58"/>
      <x:c r="D8" s="59"/>
      <x:c r="E8" s="59"/>
      <x:c r="F8" s="60"/>
    </x:row>
    <x:row r="9" ht="42" customHeight="1">
      <x:c r="A9" t="str">
        <x:v>Seguimiento</x:v>
      </x:c>
      <x:c r="B9" t="str">
        <x:v>¿Gestionan no contactados, no-shows y propuestas?</x:v>
      </x:c>
      <x:c r="C9" s="58"/>
      <x:c r="D9" s="59"/>
      <x:c r="E9" s="59"/>
      <x:c r="F9" s="60"/>
    </x:row>
    <x:row r="10" ht="42" customHeight="1">
      <x:c r="A10" t="str">
        <x:v>Trazabilidad</x:v>
      </x:c>
      <x:c r="B10" t="str">
        <x:v>¿Devuelven citas, ventas y valor?</x:v>
      </x:c>
      <x:c r="C10" s="58"/>
      <x:c r="D10" s="59"/>
      <x:c r="E10" s="59"/>
      <x:c r="F10" s="60"/>
    </x:row>
    <x:row r="11" ht="42" customHeight="1">
      <x:c r="A11" t="str">
        <x:v>Prueba</x:v>
      </x:c>
      <x:c r="B11" t="str">
        <x:v>¿Marca y prueba son reales y autorizadas?</x:v>
      </x:c>
      <x:c r="C11" s="58"/>
      <x:c r="D11" s="59"/>
      <x:c r="E11" s="59"/>
      <x:c r="F11" s="60"/>
    </x:row>
    <x:row r="12" ht="42" customHeight="1">
      <x:c r="A12" t="str">
        <x:v>Decisión</x:v>
      </x:c>
      <x:c r="B12" t="str">
        <x:v>¿Está el decisor y existe una fecha?</x:v>
      </x:c>
      <x:c r="C12" s="61"/>
      <x:c r="D12" s="62"/>
      <x:c r="E12" s="62"/>
      <x:c r="F12" s="63"/>
    </x:row>
    <x:row r="14" ht="28" customHeight="1">
      <x:c r="A14" s="128" t="str">
        <x:v>TOTAL</x:v>
      </x:c>
      <x:c r="B14" s="128" t="str"/>
      <x:c r="C14" s="128" t="n">
        <x:f>SUM(C5:C12)</x:f>
        <x:v>0</x:v>
      </x:c>
      <x:c r="D14" s="128" t="str">
        <x:f>IF(C14&gt;=13,"AVANZAR",IF(C14&gt;=8,"CONDICIONAR","NO PROPONER"))</x:f>
        <x:v>NO PROPONER</x:v>
      </x:c>
      <x:c r="E14" s="128"/>
      <x:c r="F14" s="128"/>
    </x:row>
  </x:sheetData>
  <x:mergeCells>
    <x:mergeCell ref="A1:F1"/>
    <x:mergeCell ref="A2:F2"/>
    <x:mergeCell ref="D14:F14"/>
  </x:mergeCells>
  <x:dataValidations count="1">
    <x:dataValidation type="list" sqref="C5:C12">
      <x:formula1>"0,1,2"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4" hidden="0" customWidth="1"/>
    <x:col min="3" max="3" width="40" hidden="0" customWidth="1"/>
    <x:col min="4" max="4" width="34" hidden="0" customWidth="1"/>
  </x:cols>
  <x:sheetData>
    <x:row r="1" ht="34" customHeight="1">
      <x:c r="A1" s="3" t="str">
        <x:v>DICCIONARIO CRM</x:v>
      </x:c>
      <x:c r="B1" s="3"/>
      <x:c r="C1" s="3"/>
      <x:c r="D1" s="3"/>
    </x:row>
    <x:row r="2" ht="26" customHeight="1">
      <x:c r="A2" s="6" t="str">
        <x:v>Criterios compartidos para evitar que cada persona use una definición distinta.</x:v>
      </x:c>
      <x:c r="B2" s="6"/>
      <x:c r="C2" s="6"/>
      <x:c r="D2" s="6"/>
    </x:row>
    <x:row r="4" ht="28" customHeight="1">
      <x:c r="A4" s="16" t="str">
        <x:v>Campo / etapa</x:v>
      </x:c>
      <x:c r="B4" s="22" t="str">
        <x:v>Definición</x:v>
      </x:c>
      <x:c r="C4" s="22" t="str">
        <x:v>Requisito de salida</x:v>
      </x:c>
      <x:c r="D4" s="17" t="str">
        <x:v>No confundir con</x:v>
      </x:c>
    </x:row>
    <x:row r="5" ht="44" customHeight="1">
      <x:c r="A5" s="132" t="str">
        <x:v>Lista</x:v>
      </x:c>
      <x:c r="B5" s="95" t="str">
        <x:v>Cuenta investigada y priorizada</x:v>
      </x:c>
      <x:c r="C5" s="95" t="str">
        <x:v>Empresa, línea y posible decisor</x:v>
      </x:c>
      <x:c r="D5" s="96" t="str">
        <x:v>Directorio bruto</x:v>
      </x:c>
    </x:row>
    <x:row r="6" ht="44" customHeight="1">
      <x:c r="A6" s="133" t="str">
        <x:v>Contactado</x:v>
      </x:c>
      <x:c r="B6" s="98" t="str">
        <x:v>Existe un intento identificable</x:v>
      </x:c>
      <x:c r="C6" s="98" t="str">
        <x:v>Resultado y siguiente intento</x:v>
      </x:c>
      <x:c r="D6" s="99" t="str">
        <x:v>Email enviado sin registro</x:v>
      </x:c>
    </x:row>
    <x:row r="7" ht="44" customHeight="1">
      <x:c r="A7" s="133" t="str">
        <x:v>Conversación</x:v>
      </x:c>
      <x:c r="B7" s="98" t="str">
        <x:v>Hubo respuesta de persona relevante</x:v>
      </x:c>
      <x:c r="C7" s="98" t="str">
        <x:v>Prioridad o falta de encaje</x:v>
      </x:c>
      <x:c r="D7" s="99" t="str">
        <x:v>Hablar solo con recepción</x:v>
      </x:c>
    </x:row>
    <x:row r="8" ht="44" customHeight="1">
      <x:c r="A8" s="133" t="str">
        <x:v>Reunión</x:v>
      </x:c>
      <x:c r="B8" s="98" t="str">
        <x:v>Fecha, objetivo y participantes confirmados</x:v>
      </x:c>
      <x:c r="C8" s="98" t="str">
        <x:v>Handoff al closer</x:v>
      </x:c>
      <x:c r="D8" s="99" t="str">
        <x:v>Hueco sin decisor</x:v>
      </x:c>
    </x:row>
    <x:row r="9" ht="44" customHeight="1">
      <x:c r="A9" s="133" t="str">
        <x:v>Diagnóstico</x:v>
      </x:c>
      <x:c r="B9" s="98" t="str">
        <x:v>Oferta, capacidad, conversión y medición revisadas</x:v>
      </x:c>
      <x:c r="C9" s="98" t="str">
        <x:v>Scorecard y pendientes</x:v>
      </x:c>
      <x:c r="D9" s="99" t="str">
        <x:v>Demo genérica</x:v>
      </x:c>
    </x:row>
    <x:row r="10" ht="44" customHeight="1">
      <x:c r="A10" s="133" t="str">
        <x:v>Propuesta</x:v>
      </x:c>
      <x:c r="B10" s="98" t="str">
        <x:v>Documento adaptado con plan de decisión</x:v>
      </x:c>
      <x:c r="C10" s="98" t="str">
        <x:v>Fecha y criterio de decisión</x:v>
      </x:c>
      <x:c r="D10" s="99" t="str">
        <x:v>PDF sin conversación</x:v>
      </x:c>
    </x:row>
    <x:row r="11" ht="44" customHeight="1">
      <x:c r="A11" s="133" t="str">
        <x:v>Ganado</x:v>
      </x:c>
      <x:c r="B11" s="98" t="str">
        <x:v>Acuerdo confirmado según proceso interno</x:v>
      </x:c>
      <x:c r="C11" s="98" t="str">
        <x:v>Handoff y condiciones</x:v>
      </x:c>
      <x:c r="D11" s="99" t="str">
        <x:v>Interés verbal</x:v>
      </x:c>
    </x:row>
    <x:row r="12" ht="44" customHeight="1">
      <x:c r="A12" s="133" t="str">
        <x:v>Perdido</x:v>
      </x:c>
      <x:c r="B12" s="98" t="str">
        <x:v>Motivo verificable y fecha de cierre</x:v>
      </x:c>
      <x:c r="C12" s="98" t="str">
        <x:v>Aprendizaje registrado</x:v>
      </x:c>
      <x:c r="D12" s="99" t="str">
        <x:v>Silencio sin seguimiento</x:v>
      </x:c>
    </x:row>
    <x:row r="13" ht="44" customHeight="1">
      <x:c r="A13" s="133" t="str">
        <x:v>Cualificado</x:v>
      </x:c>
      <x:c r="B13" s="98" t="str">
        <x:v>Encaje mínimo comercial y operativo</x:v>
      </x:c>
      <x:c r="C13" s="98" t="str">
        <x:v>Prioridad, capacidad y responsable</x:v>
      </x:c>
      <x:c r="D13" s="99" t="str">
        <x:v>Persona amable</x:v>
      </x:c>
    </x:row>
    <x:row r="14" ht="44" customHeight="1">
      <x:c r="A14" s="133" t="str">
        <x:v>Siguiente acción</x:v>
      </x:c>
      <x:c r="B14" s="101" t="str">
        <x:v>Acción concreta con dueño y fecha</x:v>
      </x:c>
      <x:c r="C14" s="101" t="str">
        <x:v>Completada o reprogramada</x:v>
      </x:c>
      <x:c r="D14" s="102" t="str">
        <x:v>“Hacer seguimiento”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4" hidden="0" customWidth="1"/>
    <x:col min="3" max="3" width="42" hidden="0" customWidth="1"/>
    <x:col min="4" max="4" width="35" hidden="0" customWidth="1"/>
    <x:col min="5" max="5" width="34" hidden="0" customWidth="1"/>
  </x:cols>
  <x:sheetData>
    <x:row r="1" ht="34" customHeight="1">
      <x:c r="A1" s="3" t="str">
        <x:v>VERTICALES E ICP</x:v>
      </x:c>
      <x:c r="B1" s="3"/>
      <x:c r="C1" s="3"/>
      <x:c r="D1" s="3"/>
      <x:c r="E1" s="3"/>
    </x:row>
    <x:row r="2" ht="26" customHeight="1">
      <x:c r="A2" s="6" t="str">
        <x:v>12 unidades comerciales agrupadas en 10 sistemas. Legal se mantiene separado en tres especialidades.</x:v>
      </x:c>
      <x:c r="B2" s="6"/>
      <x:c r="C2" s="6"/>
      <x:c r="D2" s="6"/>
      <x:c r="E2" s="6"/>
    </x:row>
    <x:row r="4" ht="28" customHeight="1">
      <x:c r="A4" s="16" t="str">
        <x:v>Vertical</x:v>
      </x:c>
      <x:c r="B4" s="22" t="str">
        <x:v>ICP</x:v>
      </x:c>
      <x:c r="C4" s="22" t="str">
        <x:v>Ángulo de entrada</x:v>
      </x:c>
      <x:c r="D4" s="22" t="str">
        <x:v>Dato crítico</x:v>
      </x:c>
      <x:c r="E4" s="17" t="str">
        <x:v>No avanzar si</x:v>
      </x:c>
    </x:row>
    <x:row r="5" ht="48" customHeight="1">
      <x:c r="A5" s="132" t="str">
        <x:v>Ley de Segunda Oportunidad</x:v>
      </x:c>
      <x:c r="B5" s="95" t="str">
        <x:v>Despacho con área concursal y agenda</x:v>
      </x:c>
      <x:c r="C5" s="95" t="str">
        <x:v>Medir hasta asunto aceptado</x:v>
      </x:c>
      <x:c r="D5" s="95" t="str">
        <x:v>Capacidad y criterio de aceptación</x:v>
      </x:c>
      <x:c r="E5" s="96" t="str">
        <x:v>Pide promesas judiciales</x:v>
      </x:c>
    </x:row>
    <x:row r="6" ht="48" customHeight="1">
      <x:c r="A6" s="133" t="str">
        <x:v>Herencias</x:v>
      </x:c>
      <x:c r="B6" s="98" t="str">
        <x:v>Despacho de sucesiones con revisión documental</x:v>
      </x:c>
      <x:c r="C6" s="98" t="str">
        <x:v>Separar casuísticas</x:v>
      </x:c>
      <x:c r="D6" s="98" t="str">
        <x:v>Tipo de asunto y seguimiento</x:v>
      </x:c>
      <x:c r="E6" s="99" t="str">
        <x:v>Busca volumen genérico</x:v>
      </x:c>
    </x:row>
    <x:row r="7" ht="48" customHeight="1">
      <x:c r="A7" s="133" t="str">
        <x:v>Divorcios</x:v>
      </x:c>
      <x:c r="B7" s="98" t="str">
        <x:v>Despacho de familia con agenda por modalidad</x:v>
      </x:c>
      <x:c r="C7" s="98" t="str">
        <x:v>Separar modalidad</x:v>
      </x:c>
      <x:c r="D7" s="98" t="str">
        <x:v>Modalidad y asunto contratado</x:v>
      </x:c>
      <x:c r="E7" s="99" t="str">
        <x:v>Usa miedo o promesas</x:v>
      </x:c>
    </x:row>
    <x:row r="8" ht="48" customHeight="1">
      <x:c r="A8" s="133" t="str">
        <x:v>Pérgolas y cerramientos</x:v>
      </x:c>
      <x:c r="B8" s="98" t="str">
        <x:v>Instalador premium con portfolio</x:v>
      </x:c>
      <x:c r="C8" s="98" t="str">
        <x:v>Filtrar antes de visita</x:v>
      </x:c>
      <x:c r="D8" s="98" t="str">
        <x:v>Ticket y visitas semanales</x:v>
      </x:c>
      <x:c r="E8" s="99" t="str">
        <x:v>Compite por recambio</x:v>
      </x:c>
    </x:row>
    <x:row r="9" ht="48" customHeight="1">
      <x:c r="A9" s="133" t="str">
        <x:v>Coches con cargas o avería</x:v>
      </x:c>
      <x:c r="B9" s="98" t="str">
        <x:v>Comprador con liquidez y logística</x:v>
      </x:c>
      <x:c r="C9" s="98" t="str">
        <x:v>Optimizar a compra y margen</x:v>
      </x:c>
      <x:c r="D9" s="98" t="str">
        <x:v>Criterio y oferta</x:v>
      </x:c>
      <x:c r="E9" s="99" t="str">
        <x:v>No devuelve margen</x:v>
      </x:c>
    </x:row>
    <x:row r="10" ht="48" customHeight="1">
      <x:c r="A10" s="133" t="str">
        <x:v>Estética y capilar</x:v>
      </x:c>
      <x:c r="B10" s="98" t="str">
        <x:v>Clínica con tratamiento y coordinador</x:v>
      </x:c>
      <x:c r="C10" s="98" t="str">
        <x:v>Monoproducto hasta venta</x:v>
      </x:c>
      <x:c r="D10" s="98" t="str">
        <x:v>Agenda y no-show</x:v>
      </x:c>
      <x:c r="E10" s="99" t="str">
        <x:v>Claims no revisados</x:v>
      </x:c>
    </x:row>
    <x:row r="11" ht="48" customHeight="1">
      <x:c r="A11" s="133" t="str">
        <x:v>Climatización y aerotermia</x:v>
      </x:c>
      <x:c r="B11" s="98" t="str">
        <x:v>Instalador con capacidad y zonas</x:v>
      </x:c>
      <x:c r="C11" s="98" t="str">
        <x:v>Activar según capacidad</x:v>
      </x:c>
      <x:c r="D11" s="98" t="str">
        <x:v>Servicio, zona y respuesta</x:v>
      </x:c>
      <x:c r="E11" s="99" t="str">
        <x:v>Pierde llamadas</x:v>
      </x:c>
    </x:row>
    <x:row r="12" ht="48" customHeight="1">
      <x:c r="A12" s="133" t="str">
        <x:v>Reformas de alto valor</x:v>
      </x:c>
      <x:c r="B12" s="98" t="str">
        <x:v>Empresa con umbral y portfolio</x:v>
      </x:c>
      <x:c r="C12" s="98" t="str">
        <x:v>Filtrar antes de visita</x:v>
      </x:c>
      <x:c r="D12" s="98" t="str">
        <x:v>Obra mínima y seguimiento</x:v>
      </x:c>
      <x:c r="E12" s="99" t="str">
        <x:v>Acepta cualquier trabajo</x:v>
      </x:c>
    </x:row>
    <x:row r="13" ht="48" customHeight="1">
      <x:c r="A13" s="133" t="str">
        <x:v>Clínicas dentales</x:v>
      </x:c>
      <x:c r="B13" s="98" t="str">
        <x:v>Clínica con tratamiento y coordinador</x:v>
      </x:c>
      <x:c r="C13" s="98" t="str">
        <x:v>Medir hasta aceptación</x:v>
      </x:c>
      <x:c r="D13" s="98" t="str">
        <x:v>Capacidad y asistencia</x:v>
      </x:c>
      <x:c r="E13" s="99" t="str">
        <x:v>No registra tratamiento</x:v>
      </x:c>
    </x:row>
    <x:row r="14" ht="48" customHeight="1">
      <x:c r="A14" s="133" t="str">
        <x:v>Inmobiliarias</x:v>
      </x:c>
      <x:c r="B14" s="98" t="str">
        <x:v>Agencia hiperlocal con agente</x:v>
      </x:c>
      <x:c r="C14" s="98" t="str">
        <x:v>Medir hasta encargo</x:v>
      </x:c>
      <x:c r="D14" s="98" t="str">
        <x:v>Zona y proceso de valoración</x:v>
      </x:c>
      <x:c r="E14" s="99" t="str">
        <x:v>Finge compradores</x:v>
      </x:c>
    </x:row>
    <x:row r="15" ht="48" customHeight="1">
      <x:c r="A15" s="133" t="str">
        <x:v>Audición y ortopedia</x:v>
      </x:c>
      <x:c r="B15" s="98" t="str">
        <x:v>Centro con agenda y privacidad</x:v>
      </x:c>
      <x:c r="C15" s="98" t="str">
        <x:v>Valoración respetuosa</x:v>
      </x:c>
      <x:c r="D15" s="98" t="str">
        <x:v>Consentimiento y asistencia</x:v>
      </x:c>
      <x:c r="E15" s="99" t="str">
        <x:v>Promete mejora</x:v>
      </x:c>
    </x:row>
    <x:row r="16" ht="48" customHeight="1">
      <x:c r="A16" s="133" t="str">
        <x:v>Mudanzas y guardamuebles</x:v>
      </x:c>
      <x:c r="B16" s="101" t="str">
        <x:v>Operador con rutas e inventario</x:v>
      </x:c>
      <x:c r="C16" s="101" t="str">
        <x:v>Filtrar ruta y fecha</x:v>
      </x:c>
      <x:c r="D16" s="101" t="str">
        <x:v>Capacidad y presupuesto</x:v>
      </x:c>
      <x:c r="E16" s="102" t="str">
        <x:v>No controla cobertura</x:v>
      </x:c>
    </x:row>
  </x:sheetData>
  <x:mergeCells>
    <x:mergeCell ref="A1:E1"/>
    <x:mergeCell ref="A2:E2"/>
  </x:mergeCells>
  <x:pageMargins left="0.7" right="0.7" top="0.75" bottom="0.75" header="0.3" footer="0.3"/>
</x:worksheet>
</file>